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hidePivotFieldList="1"/>
  <mc:AlternateContent xmlns:mc="http://schemas.openxmlformats.org/markup-compatibility/2006">
    <mc:Choice Requires="x15">
      <x15ac:absPath xmlns:x15ac="http://schemas.microsoft.com/office/spreadsheetml/2010/11/ac" url="/Users/sashaloayza/Documents/MISC/"/>
    </mc:Choice>
  </mc:AlternateContent>
  <xr:revisionPtr revIDLastSave="0" documentId="13_ncr:1_{4FDAB24F-38E8-C54E-AA4E-CFC30202F854}" xr6:coauthVersionLast="47" xr6:coauthVersionMax="47" xr10:uidLastSave="{00000000-0000-0000-0000-000000000000}"/>
  <bookViews>
    <workbookView xWindow="20" yWindow="500" windowWidth="28800" windowHeight="17500" activeTab="1" xr2:uid="{9D7B825D-C884-4142-9331-F71C0DF831ED}"/>
  </bookViews>
  <sheets>
    <sheet name="Study" sheetId="1" r:id="rId1"/>
    <sheet name="SessionSheet" sheetId="8" r:id="rId2"/>
    <sheet name="Data" sheetId="7" r:id="rId3"/>
  </sheets>
  <functionGroups builtInGroupCount="19"/>
  <externalReferences>
    <externalReference r:id="rId4"/>
  </externalReferences>
  <definedNames>
    <definedName name="Pomos">Study!$I$1:$I$6</definedName>
    <definedName name="PrevSessions">OFFSET(Sessions[],0,0,ROWS(Sessions[])-1,1)</definedName>
    <definedName name="_xlnm.Print_Area" localSheetId="0">Study!$A$1:$H$9</definedName>
    <definedName name="Ratings">Study!$H$3:$H$7</definedName>
    <definedName name="Tags" comment="List of Tags for tasks">Study!$C$2:$C$7</definedName>
  </definedNames>
  <calcPr calcId="191029"/>
  <pivotCaches>
    <pivotCache cacheId="7"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1" l="1"/>
  <c r="L9" i="1"/>
  <c r="C7" i="1"/>
  <c r="C6" i="1"/>
  <c r="C5" i="1"/>
  <c r="C4" i="1"/>
  <c r="C3" i="1"/>
  <c r="C2" i="1"/>
  <c r="B2" i="8" l="1"/>
  <c r="A1" i="8"/>
  <c r="E2" i="1" l="1" a="1"/>
  <c r="E2" i="1" s="1"/>
  <c r="F2" i="1" a="1"/>
  <c r="F2" i="1" s="1"/>
  <c r="F6" i="1"/>
  <c r="E6" i="1" a="1"/>
  <c r="E6" i="1" s="1"/>
  <c r="D2" i="1"/>
  <c r="D3" i="1" s="1"/>
  <c r="F5" i="1"/>
  <c r="G3" i="1" a="1"/>
  <c r="G3" i="1" s="1"/>
  <c r="G2" i="1" a="1"/>
  <c r="G2" i="1" s="1"/>
  <c r="G6" i="1"/>
  <c r="E3" i="8" a="1"/>
  <c r="E3" i="8" s="1"/>
  <c r="F1" i="1"/>
  <c r="G5" i="1"/>
  <c r="D6" i="1" l="1"/>
  <c r="E7" i="1" a="1"/>
  <c r="E7" i="1" s="1"/>
  <c r="E4" i="1" s="1" a="1"/>
  <c r="E4" i="1" s="1"/>
  <c r="E5" i="1" a="1"/>
  <c r="E5" i="1" s="1"/>
  <c r="E1" i="1" a="1"/>
  <c r="E1" i="1" s="1"/>
  <c r="D7" i="1"/>
  <c r="D4" i="1" s="1"/>
  <c r="D5" i="1"/>
  <c r="F7" i="1" l="1"/>
  <c r="F4" i="1" s="1"/>
  <c r="G7" i="1"/>
  <c r="G4" i="1" s="1"/>
  <c r="E4" i="8"/>
  <c r="E5" i="8" s="1"/>
  <c r="E6" i="8" s="1"/>
  <c r="E7" i="8" s="1"/>
  <c r="E8" i="8" s="1"/>
  <c r="E9" i="8" s="1"/>
  <c r="E10" i="8" s="1"/>
  <c r="E11" i="8" s="1"/>
  <c r="E12" i="8" s="1"/>
  <c r="E13" i="8" s="1"/>
  <c r="E14" i="8" s="1"/>
  <c r="AZ9"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<sst xmlns="http://schemas.openxmlformats.org/spreadsheetml/2006/main" count="45" uniqueCount="32">
  <si>
    <t>TASKS TO DO</t>
  </si>
  <si>
    <t>Row Labels</t>
  </si>
  <si>
    <t>Grand Total</t>
  </si>
  <si>
    <t>Total Focus:</t>
  </si>
  <si>
    <t>TAG</t>
  </si>
  <si>
    <t>DAY</t>
  </si>
  <si>
    <t>TASK</t>
  </si>
  <si>
    <t>PAUSED</t>
  </si>
  <si>
    <t>POMO</t>
  </si>
  <si>
    <t>LENGTH</t>
  </si>
  <si>
    <t>START</t>
  </si>
  <si>
    <t>END</t>
  </si>
  <si>
    <t>COUNT</t>
  </si>
  <si>
    <t>RATING</t>
  </si>
  <si>
    <t>SESSION</t>
  </si>
  <si>
    <t>RATE</t>
  </si>
  <si>
    <t>TOTAL</t>
  </si>
  <si>
    <t>Session</t>
  </si>
  <si>
    <t>Start Date</t>
  </si>
  <si>
    <t>End Date</t>
  </si>
  <si>
    <t>TODAY</t>
  </si>
  <si>
    <t>SessionEnds</t>
  </si>
  <si>
    <t>FormatDate</t>
  </si>
  <si>
    <t>CHOOSE DISCIPLINE
Session Time h:mm</t>
  </si>
  <si>
    <t>Column Labels</t>
  </si>
  <si>
    <t>Sum of LENGTH</t>
  </si>
  <si>
    <t>Writing</t>
  </si>
  <si>
    <t>Average of RATING</t>
  </si>
  <si>
    <t>16-May</t>
  </si>
  <si>
    <t>May</t>
  </si>
  <si>
    <t xml:space="preserve">EXAMPLE TASK WITH NO TIME. The blue buttons in the last column above "POMO" are clickable, click them to change the duration of a new session. Create a new session by pressing the green arrow (JUST STARTED WORK), if you are just starting a study session. It will create a new row in the table starting NOW and ending in NOW + POMO minutes. Or, if you forgot to start one, and you just finished a study session, make sure the cell right above POMO is equal to the number of minutes your session was, then press the BLUE arrow (RETRO FINISH WORK). It will add a new row with a session ENDING NOW and starting NOW-- POMO minutes. If you go over time or end early, press the RED FORCE FINISH WORK to change the end time to NOW. Before creating a new session, make sure to TAG your session by choosing (clicking) one of the colored cells above, under CHOOSE DISCIPLINE, and RATING your session 1 to 5 by pressing one of the colored buttons under RATE. If you need to edit the text in the buttons, such as the POMO times or the tag names (CLASS 1, etc) then press the RED CROSS DISABLE BUTTONS. Then, re-enable using the GREEN CIRCLE. Right click a row and delete the row if you made a mistake. Undo will not usually work since buttons run code, and code is not easily undone. 
In order to use sessions, choose an end date in the cell to the right of the SELECT END: (up to 60 days after the start date of the current session. Then, the day after that chosen date, a new session will begin and all subsequent tasks will be labeled with that new session. If you forgot to choose an end date, it's ok, just do it when you remember and old tasks will be relabeled accordingly (for statistics and formatting, its helpful). All tasks of the current session are purple, and all tasks today are bold. the stats for TODAY, current session, any session of your choice (Choose: dropdown) and TOTAL are all at the top. </t>
  </si>
  <si>
    <t>YOU CAN DO ANYTHING!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</si>
</sst>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m/d/yy;@"/>
    <numFmt numFmtId="165" formatCode="[$-409]h:mm\ AM/PM;@"/>
    <numFmt numFmtId="166" formatCode="0\ &quot;min&quot;"/>
    <numFmt numFmtId="167" formatCode="0.0%"/>
    <numFmt numFmtId="168" formatCode="[h]&quot;h&quot;mm&quot;m&quot;;@"/>
    <numFmt numFmtId="169" formatCode="[$-409]mmmm\ d\,\ yyyy;@"/>
    <numFmt numFmtId="170" formatCode="[$-F800]dddd\,\ mmmm\ dd\,\ yyyy"/>
    <numFmt numFmtId="171" formatCode="&quot;END: &quot;ddd\ m/d\ "/>
    <numFmt numFmtId="172" formatCode="mm/dd/yyyy&quot;-&quot;mm/dd/yyyy"/>
    <numFmt numFmtId="173" formatCode="&quot;Choose: &quot;0"/>
    <numFmt numFmtId="174" formatCode="0\ &quot;Pomos&quot;"/>
    <numFmt numFmtId="175" formatCode="0.0%\ &quot;focus&quot;"/>
    <numFmt numFmtId="176" formatCode="&quot;Rating:&quot;\ 0.0"/>
    <numFmt numFmtId="177" formatCode="&quot;ends in &quot;0\ &quot;days&quot;"/>
  </numFmts>
  <fonts count="22" x14ac:knownFonts="1">
    <font>
      <sz val="12"/>
      <color theme="1"/>
      <name val="Tw Cen MT"/>
      <family val="2"/>
      <scheme val="minor"/>
    </font>
    <font>
      <sz val="8"/>
      <name val="Tw Cen MT"/>
      <family val="2"/>
      <scheme val="minor"/>
    </font>
    <font>
      <u/>
      <sz val="12"/>
      <color theme="1"/>
      <name val="Tw Cen MT"/>
      <family val="2"/>
      <scheme val="minor"/>
    </font>
    <font>
      <sz val="14"/>
      <color theme="1"/>
      <name val="Tw Cen MT"/>
      <family val="2"/>
      <scheme val="minor"/>
    </font>
    <font>
      <sz val="16"/>
      <color theme="1"/>
      <name val="Tw Cen MT"/>
      <family val="2"/>
      <scheme val="minor"/>
    </font>
    <font>
      <sz val="14"/>
      <color theme="0"/>
      <name val="Tw Cen MT"/>
      <family val="2"/>
      <scheme val="minor"/>
    </font>
    <font>
      <sz val="16"/>
      <color theme="0"/>
      <name val="Tw Cen MT"/>
      <family val="2"/>
      <scheme val="minor"/>
    </font>
    <font>
      <b/>
      <sz val="16"/>
      <color theme="0"/>
      <name val="Tw Cen MT"/>
      <family val="2"/>
      <scheme val="minor"/>
    </font>
    <font>
      <sz val="12"/>
      <color theme="1" tint="0.499984740745262"/>
      <name val="Tw Cen MT"/>
      <family val="2"/>
      <scheme val="minor"/>
    </font>
    <font>
      <sz val="12"/>
      <color theme="1"/>
      <name val="Tw Cen MT"/>
      <family val="2"/>
      <scheme val="minor"/>
    </font>
    <font>
      <b/>
      <u/>
      <sz val="14"/>
      <color theme="1"/>
      <name val="Tw Cen MT"/>
      <family val="2"/>
      <scheme val="minor"/>
    </font>
    <font>
      <b/>
      <sz val="16"/>
      <color theme="1"/>
      <name val="Tw Cen MT"/>
      <family val="2"/>
      <scheme val="minor"/>
    </font>
    <font>
      <sz val="18"/>
      <color theme="1"/>
      <name val="Tw Cen MT"/>
      <family val="2"/>
      <scheme val="minor"/>
    </font>
    <font>
      <sz val="12"/>
      <color theme="0"/>
      <name val="Tw Cen MT"/>
      <family val="2"/>
      <scheme val="minor"/>
    </font>
    <font>
      <b/>
      <sz val="14"/>
      <color theme="1"/>
      <name val="Tw Cen MT"/>
      <family val="2"/>
      <scheme val="minor"/>
    </font>
    <font>
      <i/>
      <sz val="14"/>
      <color theme="1"/>
      <name val="Tw Cen MT"/>
      <family val="2"/>
      <scheme val="minor"/>
    </font>
    <font>
      <i/>
      <sz val="12"/>
      <color theme="1"/>
      <name val="Tw Cen MT"/>
      <family val="2"/>
      <scheme val="minor"/>
    </font>
    <font>
      <sz val="18"/>
      <color theme="1" tint="0.249977111117893"/>
      <name val="Tw Cen MT"/>
      <family val="2"/>
      <scheme val="minor"/>
    </font>
    <font>
      <b/>
      <sz val="18"/>
      <color theme="1"/>
      <name val="Tw Cen MT"/>
      <family val="2"/>
      <scheme val="minor"/>
    </font>
    <font>
      <sz val="22"/>
      <color theme="1"/>
      <name val="Tw Cen MT"/>
      <family val="2"/>
      <scheme val="minor"/>
    </font>
    <font>
      <sz val="36"/>
      <color rgb="FFFF0000"/>
      <name val="Tw Cen MT"/>
      <family val="2"/>
      <scheme val="minor"/>
    </font>
    <font>
      <sz val="20"/>
      <color theme="2"/>
      <name val="Tw Cen MT"/>
      <family val="2"/>
      <scheme val="minor"/>
    </font>
  </fonts>
  <fills count="19">
    <fill>
      <patternFill patternType="none"/>
    </fill>
    <fill>
      <patternFill patternType="gray125"/>
    </fill>
    <fill>
      <patternFill patternType="solid">
        <fgColor rgb="FFFFF2BB"/>
        <bgColor indexed="64"/>
      </patternFill>
    </fill>
    <fill>
      <patternFill patternType="solid">
        <fgColor rgb="FFEF5056"/>
        <bgColor indexed="64"/>
      </patternFill>
    </fill>
    <fill>
      <patternFill patternType="solid">
        <fgColor rgb="FF99FFB9"/>
        <bgColor indexed="64"/>
      </patternFill>
    </fill>
    <fill>
      <patternFill patternType="solid">
        <fgColor rgb="FF9F8CFF"/>
        <bgColor indexed="64"/>
      </patternFill>
    </fill>
    <fill>
      <patternFill patternType="solid">
        <fgColor rgb="FF4191FF"/>
        <bgColor indexed="64"/>
      </patternFill>
    </fill>
    <fill>
      <patternFill patternType="solid">
        <fgColor rgb="FF71AD47"/>
        <bgColor indexed="64"/>
      </patternFill>
    </fill>
    <fill>
      <patternFill patternType="solid">
        <fgColor rgb="FF92431C"/>
        <bgColor indexed="64"/>
      </patternFill>
    </fill>
    <fill>
      <patternFill patternType="solid">
        <fgColor rgb="FF00C4B4"/>
        <bgColor indexed="64"/>
      </patternFill>
    </fill>
    <fill>
      <patternFill patternType="solid">
        <fgColor rgb="FF00D000"/>
        <bgColor indexed="64"/>
      </patternFill>
    </fill>
    <fill>
      <patternFill patternType="solid">
        <fgColor rgb="FFE4B305"/>
        <bgColor indexed="64"/>
      </patternFill>
    </fill>
    <fill>
      <patternFill patternType="solid">
        <fgColor rgb="FFE85322"/>
        <bgColor indexed="64"/>
      </patternFill>
    </fill>
    <fill>
      <patternFill patternType="solid">
        <fgColor rgb="FFE80000"/>
        <bgColor indexed="64"/>
      </patternFill>
    </fill>
    <fill>
      <patternFill patternType="solid">
        <fgColor theme="9"/>
        <bgColor indexed="64"/>
      </patternFill>
    </fill>
    <fill>
      <patternFill patternType="solid">
        <fgColor theme="4" tint="0.79998168889431442"/>
        <bgColor indexed="65"/>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indexed="64"/>
      </left>
      <right/>
      <top/>
      <bottom/>
      <diagonal/>
    </border>
    <border>
      <left style="thin">
        <color auto="1"/>
      </left>
      <right style="thin">
        <color auto="1"/>
      </right>
      <top/>
      <bottom/>
      <diagonal/>
    </border>
    <border>
      <left/>
      <right style="thin">
        <color indexed="64"/>
      </right>
      <top/>
      <bottom/>
      <diagonal/>
    </border>
    <border>
      <left style="thin">
        <color auto="1"/>
      </left>
      <right style="thin">
        <color auto="1"/>
      </right>
      <top style="thin">
        <color auto="1"/>
      </top>
      <bottom/>
      <diagonal/>
    </border>
    <border>
      <left/>
      <right style="thin">
        <color indexed="64"/>
      </right>
      <top style="thin">
        <color indexed="64"/>
      </top>
      <bottom/>
      <diagonal/>
    </border>
  </borders>
  <cellStyleXfs count="3">
    <xf numFmtId="0" fontId="0" fillId="0" borderId="0"/>
    <xf numFmtId="0" fontId="9" fillId="15" borderId="0" applyNumberFormat="0" applyBorder="0" applyAlignment="0" applyProtection="0"/>
    <xf numFmtId="0" fontId="13" fillId="18" borderId="0" applyNumberFormat="0" applyBorder="0" applyAlignment="0" applyProtection="0"/>
  </cellStyleXfs>
  <cellXfs count="90">
    <xf numFmtId="0" fontId="0" fillId="0" borderId="0" xfId="0"/>
    <xf numFmtId="22" fontId="0" fillId="0" borderId="0" xfId="0" applyNumberFormat="1"/>
    <xf numFmtId="0" fontId="0" fillId="0" borderId="0" xfId="0" applyAlignment="1">
      <alignment horizontal="left"/>
    </xf>
    <xf numFmtId="0" fontId="0" fillId="0" borderId="0" xfId="0" pivotButton="1"/>
    <xf numFmtId="167" fontId="0" fillId="0" borderId="0" xfId="0" applyNumberFormat="1" applyAlignment="1">
      <alignment horizontal="left"/>
    </xf>
    <xf numFmtId="0" fontId="2" fillId="0" borderId="0" xfId="0" applyFont="1"/>
    <xf numFmtId="22" fontId="8" fillId="0" borderId="0" xfId="0" applyNumberFormat="1" applyFont="1"/>
    <xf numFmtId="0" fontId="8" fillId="0" borderId="0" xfId="0" applyFont="1"/>
    <xf numFmtId="0" fontId="3" fillId="0" borderId="0" xfId="0" applyFont="1"/>
    <xf numFmtId="14" fontId="3" fillId="0" borderId="0" xfId="0" applyNumberFormat="1" applyFont="1"/>
    <xf numFmtId="14" fontId="3" fillId="0" borderId="0" xfId="0" applyNumberFormat="1" applyFont="1" applyAlignment="1">
      <alignment horizontal="left"/>
    </xf>
    <xf numFmtId="2" fontId="3" fillId="0" borderId="0" xfId="0" applyNumberFormat="1" applyFont="1"/>
    <xf numFmtId="0" fontId="10" fillId="0" borderId="0" xfId="0" applyFont="1"/>
    <xf numFmtId="0" fontId="4" fillId="0" borderId="0" xfId="0" applyFont="1" applyAlignment="1">
      <alignment horizontal="center" vertical="center" wrapText="1"/>
    </xf>
    <xf numFmtId="166" fontId="9" fillId="15" borderId="0" xfId="1" applyNumberFormat="1" applyAlignment="1">
      <alignment horizontal="center" vertical="center"/>
    </xf>
    <xf numFmtId="1" fontId="0" fillId="13" borderId="2" xfId="0" applyNumberFormat="1" applyFill="1" applyBorder="1" applyAlignment="1">
      <alignment horizontal="center" vertical="center"/>
    </xf>
    <xf numFmtId="1" fontId="0" fillId="12" borderId="2" xfId="0" applyNumberFormat="1" applyFill="1" applyBorder="1" applyAlignment="1">
      <alignment horizontal="center" vertical="center"/>
    </xf>
    <xf numFmtId="1" fontId="0" fillId="11" borderId="2" xfId="0" applyNumberFormat="1" applyFill="1" applyBorder="1" applyAlignment="1">
      <alignment horizontal="center" vertical="center"/>
    </xf>
    <xf numFmtId="1" fontId="0" fillId="9" borderId="2" xfId="0" applyNumberFormat="1" applyFill="1" applyBorder="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top" wrapText="1"/>
    </xf>
    <xf numFmtId="169" fontId="4" fillId="0" borderId="0" xfId="0" applyNumberFormat="1" applyFont="1" applyAlignment="1">
      <alignment horizontal="left" vertical="top" wrapText="1"/>
    </xf>
    <xf numFmtId="170" fontId="0" fillId="0" borderId="0" xfId="0" applyNumberFormat="1"/>
    <xf numFmtId="0" fontId="0" fillId="0" borderId="0" xfId="0" applyProtection="1">
      <protection locked="0"/>
    </xf>
    <xf numFmtId="0" fontId="7" fillId="7" borderId="2" xfId="0" applyFont="1" applyFill="1" applyBorder="1" applyAlignment="1" applyProtection="1">
      <alignment horizontal="center" vertical="center"/>
      <protection locked="0"/>
    </xf>
    <xf numFmtId="1" fontId="0" fillId="10" borderId="10" xfId="0" applyNumberFormat="1" applyFill="1" applyBorder="1" applyAlignment="1">
      <alignment horizontal="center" vertical="center"/>
    </xf>
    <xf numFmtId="166" fontId="5" fillId="14" borderId="10" xfId="0" applyNumberFormat="1" applyFont="1" applyFill="1" applyBorder="1" applyAlignment="1" applyProtection="1">
      <alignment horizontal="center" vertical="center"/>
      <protection locked="0"/>
    </xf>
    <xf numFmtId="1" fontId="0" fillId="0" borderId="0" xfId="0" applyNumberFormat="1"/>
    <xf numFmtId="175" fontId="11" fillId="16" borderId="6" xfId="0" applyNumberFormat="1" applyFont="1" applyFill="1" applyBorder="1" applyAlignment="1">
      <alignment horizontal="center" vertical="center"/>
    </xf>
    <xf numFmtId="0" fontId="15" fillId="17"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2" xfId="0" applyFont="1" applyBorder="1" applyAlignment="1">
      <alignment horizontal="center" vertical="center"/>
    </xf>
    <xf numFmtId="172" fontId="16" fillId="0" borderId="7" xfId="0" applyNumberFormat="1" applyFont="1" applyBorder="1" applyAlignment="1">
      <alignment horizontal="center" vertical="center" wrapText="1"/>
    </xf>
    <xf numFmtId="0" fontId="16" fillId="0" borderId="8" xfId="0" applyFont="1" applyBorder="1" applyAlignment="1">
      <alignment horizontal="center" vertical="center"/>
    </xf>
    <xf numFmtId="173" fontId="16" fillId="0" borderId="7" xfId="0" applyNumberFormat="1" applyFont="1" applyBorder="1" applyAlignment="1" applyProtection="1">
      <alignment horizontal="center" vertical="center" wrapText="1"/>
      <protection locked="0"/>
    </xf>
    <xf numFmtId="0" fontId="16" fillId="0" borderId="8" xfId="0" applyFont="1" applyBorder="1" applyAlignment="1">
      <alignment horizontal="center" vertical="center" wrapText="1"/>
    </xf>
    <xf numFmtId="175" fontId="16" fillId="0" borderId="6" xfId="0" applyNumberFormat="1" applyFont="1" applyBorder="1" applyAlignment="1">
      <alignment horizontal="center" vertical="center"/>
    </xf>
    <xf numFmtId="174" fontId="16" fillId="0" borderId="7" xfId="0" applyNumberFormat="1" applyFont="1" applyBorder="1" applyAlignment="1">
      <alignment horizontal="center" vertical="center"/>
    </xf>
    <xf numFmtId="168" fontId="16" fillId="0" borderId="6" xfId="0" applyNumberFormat="1" applyFont="1" applyBorder="1" applyAlignment="1">
      <alignment horizontal="center" vertical="center"/>
    </xf>
    <xf numFmtId="168" fontId="16" fillId="0" borderId="7" xfId="0" applyNumberFormat="1" applyFont="1" applyBorder="1" applyAlignment="1">
      <alignment horizontal="center" vertical="center"/>
    </xf>
    <xf numFmtId="168" fontId="18" fillId="17" borderId="6" xfId="0" applyNumberFormat="1" applyFont="1" applyFill="1" applyBorder="1" applyAlignment="1">
      <alignment horizontal="center" vertical="center"/>
    </xf>
    <xf numFmtId="168" fontId="15" fillId="17" borderId="6" xfId="0" applyNumberFormat="1" applyFont="1" applyFill="1" applyBorder="1" applyAlignment="1">
      <alignment horizontal="center" vertical="center"/>
    </xf>
    <xf numFmtId="174" fontId="18" fillId="17" borderId="6" xfId="0" applyNumberFormat="1" applyFont="1" applyFill="1" applyBorder="1" applyAlignment="1">
      <alignment horizontal="center" vertical="center"/>
    </xf>
    <xf numFmtId="172" fontId="15" fillId="16" borderId="7" xfId="0" applyNumberFormat="1" applyFont="1" applyFill="1" applyBorder="1" applyAlignment="1">
      <alignment horizontal="center" vertical="center" wrapText="1"/>
    </xf>
    <xf numFmtId="175" fontId="15" fillId="16" borderId="6" xfId="0" applyNumberFormat="1" applyFont="1" applyFill="1" applyBorder="1" applyAlignment="1">
      <alignment horizontal="center" vertical="center"/>
    </xf>
    <xf numFmtId="174" fontId="15" fillId="17" borderId="7" xfId="0" applyNumberFormat="1" applyFont="1" applyFill="1" applyBorder="1" applyAlignment="1">
      <alignment horizontal="center" vertical="center"/>
    </xf>
    <xf numFmtId="0" fontId="18" fillId="17" borderId="4" xfId="0" applyFont="1" applyFill="1" applyBorder="1" applyAlignment="1">
      <alignment horizontal="center" vertical="center" wrapText="1"/>
    </xf>
    <xf numFmtId="176" fontId="14" fillId="16" borderId="6" xfId="0" applyNumberFormat="1" applyFont="1" applyFill="1" applyBorder="1" applyAlignment="1">
      <alignment horizontal="center" vertical="center"/>
    </xf>
    <xf numFmtId="176" fontId="15" fillId="16" borderId="7" xfId="0" applyNumberFormat="1" applyFont="1" applyFill="1" applyBorder="1" applyAlignment="1">
      <alignment horizontal="center" vertical="center"/>
    </xf>
    <xf numFmtId="176" fontId="16" fillId="0" borderId="7" xfId="0" applyNumberFormat="1" applyFont="1" applyBorder="1" applyAlignment="1">
      <alignment horizontal="center" vertical="center"/>
    </xf>
    <xf numFmtId="176" fontId="16" fillId="0" borderId="8" xfId="0" applyNumberFormat="1" applyFont="1" applyBorder="1" applyAlignment="1">
      <alignment horizontal="center" vertical="center"/>
    </xf>
    <xf numFmtId="14" fontId="11" fillId="16" borderId="6" xfId="0" applyNumberFormat="1" applyFont="1" applyFill="1" applyBorder="1" applyAlignment="1">
      <alignment horizontal="center" vertical="center"/>
    </xf>
    <xf numFmtId="0" fontId="4" fillId="2" borderId="4"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4" xfId="0" applyFont="1" applyFill="1" applyBorder="1" applyAlignment="1">
      <alignment horizontal="center" vertical="center"/>
    </xf>
    <xf numFmtId="0" fontId="4" fillId="6" borderId="4" xfId="0" applyFont="1" applyFill="1" applyBorder="1" applyAlignment="1">
      <alignment horizontal="center" vertical="center"/>
    </xf>
    <xf numFmtId="0" fontId="4" fillId="5" borderId="4" xfId="0" applyFont="1" applyFill="1" applyBorder="1" applyAlignment="1">
      <alignment horizontal="center" vertical="center"/>
    </xf>
    <xf numFmtId="0" fontId="4" fillId="8" borderId="0" xfId="0" applyFont="1" applyFill="1" applyAlignment="1">
      <alignment horizontal="center" vertical="center"/>
    </xf>
    <xf numFmtId="0" fontId="12" fillId="0" borderId="4" xfId="0" applyFont="1" applyBorder="1" applyAlignment="1">
      <alignment horizontal="center" vertical="center" wrapText="1"/>
    </xf>
    <xf numFmtId="171" fontId="15" fillId="17" borderId="0" xfId="0" applyNumberFormat="1" applyFont="1" applyFill="1" applyAlignment="1" applyProtection="1">
      <alignment horizontal="center" vertical="center"/>
      <protection locked="0"/>
    </xf>
    <xf numFmtId="177" fontId="11" fillId="17" borderId="7" xfId="0" applyNumberFormat="1" applyFont="1" applyFill="1" applyBorder="1" applyAlignment="1">
      <alignment horizontal="center" vertical="center"/>
    </xf>
    <xf numFmtId="1" fontId="6" fillId="18" borderId="5" xfId="2" applyNumberFormat="1" applyFont="1" applyBorder="1" applyAlignment="1" applyProtection="1">
      <alignment horizontal="center" vertical="center" wrapText="1"/>
      <protection locked="0"/>
    </xf>
    <xf numFmtId="164" fontId="6" fillId="18" borderId="5" xfId="2" applyNumberFormat="1" applyFont="1" applyBorder="1" applyAlignment="1" applyProtection="1">
      <alignment horizontal="center" vertical="center" wrapText="1"/>
      <protection locked="0"/>
    </xf>
    <xf numFmtId="0" fontId="6" fillId="18" borderId="3" xfId="2" applyFont="1" applyBorder="1" applyAlignment="1" applyProtection="1">
      <alignment horizontal="center" vertical="center" wrapText="1"/>
      <protection locked="0"/>
    </xf>
    <xf numFmtId="165" fontId="6" fillId="18" borderId="3" xfId="2" applyNumberFormat="1" applyFont="1" applyBorder="1" applyAlignment="1" applyProtection="1">
      <alignment horizontal="center" vertical="center" wrapText="1"/>
      <protection locked="0"/>
    </xf>
    <xf numFmtId="0" fontId="6" fillId="18" borderId="3" xfId="2" applyFont="1" applyBorder="1" applyAlignment="1" applyProtection="1">
      <alignment horizontal="center" vertical="center"/>
      <protection locked="0"/>
    </xf>
    <xf numFmtId="0" fontId="6" fillId="18" borderId="1" xfId="2" applyFont="1" applyBorder="1" applyAlignment="1" applyProtection="1">
      <alignment horizontal="center" vertical="center" wrapText="1"/>
      <protection locked="0"/>
    </xf>
    <xf numFmtId="0" fontId="6" fillId="18" borderId="1" xfId="2" applyFont="1" applyBorder="1" applyAlignment="1" applyProtection="1">
      <alignment horizontal="center"/>
      <protection locked="0"/>
    </xf>
    <xf numFmtId="1" fontId="17" fillId="0" borderId="1" xfId="2" applyNumberFormat="1" applyFont="1" applyFill="1" applyBorder="1" applyAlignment="1" applyProtection="1">
      <alignment horizontal="center" vertical="center" wrapText="1"/>
    </xf>
    <xf numFmtId="165" fontId="17" fillId="0" borderId="1" xfId="2" applyNumberFormat="1" applyFont="1" applyFill="1" applyBorder="1" applyAlignment="1" applyProtection="1">
      <alignment horizontal="center" vertical="center" wrapText="1"/>
      <protection locked="0"/>
    </xf>
    <xf numFmtId="168" fontId="17" fillId="0" borderId="1" xfId="2" applyNumberFormat="1" applyFont="1" applyFill="1" applyBorder="1" applyAlignment="1" applyProtection="1">
      <alignment horizontal="center" vertical="center" wrapText="1"/>
    </xf>
    <xf numFmtId="166" fontId="17" fillId="0" borderId="1" xfId="2" applyNumberFormat="1" applyFont="1" applyFill="1" applyBorder="1" applyAlignment="1" applyProtection="1">
      <alignment horizontal="center" vertical="center" wrapText="1"/>
      <protection locked="0"/>
    </xf>
    <xf numFmtId="0" fontId="6" fillId="0" borderId="1" xfId="2" applyNumberFormat="1" applyFont="1" applyFill="1" applyBorder="1" applyAlignment="1" applyProtection="1">
      <alignment horizontal="center" vertical="center" wrapText="1"/>
    </xf>
    <xf numFmtId="0" fontId="4" fillId="18" borderId="1" xfId="2" applyFont="1" applyBorder="1" applyAlignment="1" applyProtection="1">
      <alignment horizontal="center" vertical="center" wrapText="1"/>
    </xf>
    <xf numFmtId="1" fontId="0" fillId="0" borderId="0" xfId="0" applyNumberFormat="1" applyAlignment="1">
      <alignment horizontal="left"/>
    </xf>
    <xf numFmtId="168" fontId="0" fillId="0" borderId="0" xfId="0" applyNumberFormat="1"/>
    <xf numFmtId="170" fontId="4" fillId="0" borderId="0" xfId="0" applyNumberFormat="1" applyFont="1" applyAlignment="1">
      <alignment horizontal="left" vertical="top" wrapText="1"/>
    </xf>
    <xf numFmtId="0" fontId="0" fillId="0" borderId="0" xfId="0" applyAlignment="1">
      <alignment horizontal="left" indent="1"/>
    </xf>
    <xf numFmtId="164" fontId="17" fillId="0" borderId="4" xfId="2" applyNumberFormat="1" applyFont="1" applyFill="1" applyBorder="1" applyAlignment="1" applyProtection="1">
      <alignment horizontal="center" vertical="center" wrapText="1"/>
    </xf>
    <xf numFmtId="165" fontId="17" fillId="0" borderId="2" xfId="2" applyNumberFormat="1" applyFont="1" applyFill="1" applyBorder="1" applyAlignment="1" applyProtection="1">
      <alignment horizontal="center" vertical="center" wrapText="1"/>
      <protection locked="0"/>
    </xf>
    <xf numFmtId="0" fontId="4" fillId="0" borderId="9" xfId="0" applyFont="1" applyBorder="1" applyAlignment="1">
      <alignment horizontal="center" vertical="center"/>
    </xf>
    <xf numFmtId="0" fontId="4" fillId="0" borderId="3" xfId="0" applyFont="1" applyBorder="1" applyAlignment="1">
      <alignment horizontal="center" vertical="center"/>
    </xf>
    <xf numFmtId="0" fontId="0" fillId="0" borderId="0" xfId="0" applyAlignment="1">
      <alignment horizontal="center"/>
    </xf>
    <xf numFmtId="0" fontId="0" fillId="0" borderId="0" xfId="0" applyNumberFormat="1"/>
    <xf numFmtId="0" fontId="17" fillId="10" borderId="1" xfId="2" applyFont="1" applyFill="1" applyBorder="1" applyAlignment="1" applyProtection="1">
      <alignment horizontal="center" vertical="center" wrapText="1"/>
      <protection locked="0"/>
    </xf>
    <xf numFmtId="170" fontId="0" fillId="0" borderId="4" xfId="2" applyNumberFormat="1" applyFont="1" applyFill="1" applyBorder="1" applyAlignment="1" applyProtection="1">
      <alignment horizontal="center" vertical="center" wrapText="1"/>
    </xf>
    <xf numFmtId="0" fontId="20" fillId="0" borderId="1" xfId="0" applyFont="1" applyBorder="1" applyAlignment="1" applyProtection="1">
      <alignment horizontal="center" vertical="center" wrapText="1"/>
      <protection locked="0"/>
    </xf>
    <xf numFmtId="0" fontId="19" fillId="0" borderId="1" xfId="0" applyFont="1" applyBorder="1" applyAlignment="1">
      <alignment horizontal="center"/>
    </xf>
    <xf numFmtId="0" fontId="4" fillId="0" borderId="1" xfId="0" applyFont="1" applyBorder="1" applyAlignment="1" applyProtection="1">
      <alignment horizontal="center" wrapText="1"/>
      <protection locked="0"/>
    </xf>
    <xf numFmtId="0" fontId="21" fillId="2" borderId="1" xfId="2" applyFont="1" applyFill="1" applyBorder="1" applyAlignment="1" applyProtection="1">
      <alignment vertical="top" wrapText="1"/>
      <protection locked="0"/>
    </xf>
  </cellXfs>
  <cellStyles count="3">
    <cellStyle name="20% - Accent1" xfId="1" builtinId="30"/>
    <cellStyle name="Accent3" xfId="2" builtinId="37"/>
    <cellStyle name="Normal" xfId="0" builtinId="0"/>
  </cellStyles>
  <dxfs count="41">
    <dxf>
      <font>
        <b val="0"/>
        <i val="0"/>
        <strike val="0"/>
        <outline val="0"/>
        <shadow val="0"/>
        <u val="none"/>
        <vertAlign val="baseline"/>
        <sz val="20"/>
        <color theme="2"/>
        <name val="Tw Cen MT"/>
        <family val="2"/>
        <scheme val="minor"/>
      </font>
      <fill>
        <patternFill patternType="solid">
          <fgColor indexed="64"/>
          <bgColor rgb="FFFFF2BB"/>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64" formatCode="m/d/yy;@"/>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fill>
        <patternFill patternType="solid">
          <fgColor indexed="64"/>
          <bgColor rgb="FF00D000"/>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66" formatCode="0\ &quot;min&quo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8"/>
        <color theme="1" tint="0.249977111117893"/>
        <name val="Tw Cen MT"/>
        <family val="2"/>
        <scheme val="minor"/>
      </font>
      <numFmt numFmtId="166" formatCode="0\ &quot;min&quo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top style="thin">
          <color indexed="64"/>
        </top>
        <bottom style="thin">
          <color indexed="64"/>
        </bottom>
      </border>
      <protection locked="0" hidden="0"/>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ill>
        <patternFill patternType="solid">
          <fgColor theme="4" tint="0.59996337778862885"/>
          <bgColor theme="5" tint="0.59996337778862885"/>
        </patternFill>
      </fill>
    </dxf>
    <dxf>
      <fill>
        <patternFill patternType="solid">
          <fgColor theme="4" tint="0.59996337778862885"/>
          <bgColor theme="5" tint="0.39994506668294322"/>
        </patternFill>
      </fill>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
      <numFmt numFmtId="168" formatCode="[h]&quot;h&quot;mm&quot;m&quot;;@"/>
    </dxf>
    <dxf>
      <numFmt numFmtId="168" formatCode="[h]&quot;h&quot;mm&quot;m&quot;;@"/>
    </dxf>
    <dxf>
      <numFmt numFmtId="168" formatCode="[h]&quot;h&quot;mm&quot;m&quot;;@"/>
    </dxf>
    <dxf>
      <numFmt numFmtId="168" formatCode="[h]&quot;h&quot;mm&quot;m&quot;;@"/>
    </dxf>
    <dxf>
      <numFmt numFmtId="170" formatCode="[$-F800]dddd\,\ mmmm\ dd\,\ yyyy"/>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0"/>
        <name val="Tw Cen MT"/>
        <family val="2"/>
        <scheme val="minor"/>
      </font>
      <alignment horizontal="center" vertical="center" textRotation="0" wrapText="1" indent="0" justifyLastLine="0" shrinkToFit="0" readingOrder="0"/>
    </dxf>
    <dxf>
      <font>
        <b val="0"/>
        <strike val="0"/>
        <outline val="0"/>
        <shadow val="0"/>
        <u val="none"/>
        <vertAlign val="baseline"/>
        <sz val="12"/>
        <color theme="1"/>
        <name val="Tw Cen MT"/>
        <family val="2"/>
        <scheme val="minor"/>
      </font>
      <numFmt numFmtId="170" formatCode="[$-F800]dddd\,\ mmmm\ dd\,\ 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6"/>
        <color theme="1"/>
        <name val="Tw Cen MT"/>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6"/>
        <name val="Tw Cen M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8"/>
        <color theme="1" tint="0.249977111117893"/>
        <name val="Tw Cen MT"/>
        <family val="2"/>
        <scheme val="minor"/>
      </font>
      <numFmt numFmtId="168" formatCode="[h]&quot;h&quot;mm&quot;m&quo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protection locked="1" hidden="0"/>
    </dxf>
    <dxf>
      <font>
        <b val="0"/>
        <family val="2"/>
      </font>
      <border diagonalUp="0" diagonalDown="0">
        <left style="thin">
          <color indexed="64"/>
        </left>
        <right style="thin">
          <color indexed="64"/>
        </right>
        <top/>
        <bottom/>
      </border>
      <protection locked="0" hidden="0"/>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6"/>
        <name val="Tw Cen MT"/>
        <family val="2"/>
        <scheme val="minor"/>
      </font>
      <fill>
        <patternFill patternType="none">
          <fgColor indexed="64"/>
          <bgColor auto="1"/>
        </patternFill>
      </fill>
      <alignment horizontal="center" vertical="center" textRotation="0" wrapText="1" indent="0" justifyLastLine="0" shrinkToFit="0" readingOrder="0"/>
      <protection locked="1" hidden="0"/>
    </dxf>
    <dxf>
      <border>
        <bottom style="thin">
          <color indexed="64"/>
        </bottom>
      </border>
    </dxf>
    <dxf>
      <font>
        <strike val="0"/>
        <outline val="0"/>
        <shadow val="0"/>
        <u val="none"/>
        <vertAlign val="baseline"/>
        <sz val="16"/>
        <color theme="0"/>
        <name val="Tw Cen MT"/>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s>
  <tableStyles count="0" defaultTableStyle="TableStyleMedium2" defaultPivotStyle="PivotStyleLight16"/>
  <colors>
    <mruColors>
      <color rgb="FFFFF3BB"/>
      <color rgb="FF00EF48"/>
      <color rgb="FF00C4B4"/>
      <color rgb="FF4091FF"/>
      <color rgb="FF9F8CFF"/>
      <color rgb="FF92421B"/>
      <color rgb="FF99FFBA"/>
      <color rgb="FFEF5055"/>
      <color rgb="FF002060"/>
      <color rgb="FFE4B3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[AutoStudyLog.xlsm]Data!PivotTable9</c:name>
    <c:fmtId val="0"/>
  </c:pivotSource>
  <c:chart>
    <c:title>
      <c:tx>
        <c:rich>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r>
              <a:rPr lang="en-US" sz="3200"/>
              <a:t>Total Focus time by discipline</a:t>
            </a:r>
          </a:p>
        </c:rich>
      </c:tx>
      <c:overlay val="0"/>
      <c:spPr>
        <a:noFill/>
        <a:ln>
          <a:noFill/>
        </a:ln>
        <a:effectLst/>
      </c:spPr>
      <c:txPr>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FFF2BB"/>
          </a:solidFill>
          <a:ln>
            <a:noFill/>
          </a:ln>
          <a:effectLst>
            <a:outerShdw blurRad="317500" algn="ctr" rotWithShape="0">
              <a:prstClr val="black">
                <a:alpha val="25000"/>
              </a:prstClr>
            </a:outerShdw>
          </a:effectLst>
        </c:spPr>
      </c:pivotFmt>
      <c:pivotFmt>
        <c:idx val="2"/>
        <c:spPr>
          <a:solidFill>
            <a:srgbClr val="EF5056"/>
          </a:solidFill>
          <a:ln>
            <a:noFill/>
          </a:ln>
          <a:effectLst>
            <a:outerShdw blurRad="317500" algn="ctr" rotWithShape="0">
              <a:prstClr val="black">
                <a:alpha val="25000"/>
              </a:prstClr>
            </a:outerShdw>
          </a:effectLst>
        </c:spPr>
      </c:pivotFmt>
      <c:pivotFmt>
        <c:idx val="3"/>
        <c:spPr>
          <a:solidFill>
            <a:srgbClr val="99FFB9"/>
          </a:solidFill>
          <a:ln>
            <a:noFill/>
          </a:ln>
          <a:effectLst>
            <a:outerShdw blurRad="317500" algn="ctr" rotWithShape="0">
              <a:prstClr val="black">
                <a:alpha val="25000"/>
              </a:prstClr>
            </a:outerShdw>
          </a:effectLst>
        </c:spPr>
      </c:pivotFmt>
      <c:pivotFmt>
        <c:idx val="4"/>
        <c:spPr>
          <a:solidFill>
            <a:srgbClr val="4091FF"/>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4091FF"/>
          </a:solidFill>
          <a:ln>
            <a:noFill/>
          </a:ln>
          <a:effectLst>
            <a:outerShdw blurRad="317500" algn="ctr" rotWithShape="0">
              <a:prstClr val="black">
                <a:alpha val="25000"/>
              </a:prstClr>
            </a:outerShdw>
          </a:effectLst>
        </c:spPr>
      </c:pivotFmt>
      <c:pivotFmt>
        <c:idx val="11"/>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4091FF"/>
          </a:solidFill>
          <a:ln>
            <a:noFill/>
          </a:ln>
          <a:effectLst>
            <a:outerShdw blurRad="317500" algn="ctr" rotWithShape="0">
              <a:prstClr val="black">
                <a:alpha val="25000"/>
              </a:prstClr>
            </a:outerShdw>
          </a:effectLst>
        </c:spPr>
      </c:pivotFmt>
      <c:pivotFmt>
        <c:idx val="17"/>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9"/>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4091FF"/>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rgbClr val="85501F"/>
          </a:solidFill>
          <a:ln>
            <a:noFill/>
          </a:ln>
          <a:effectLst>
            <a:outerShdw blurRad="317500" algn="ctr" rotWithShape="0">
              <a:prstClr val="black">
                <a:alpha val="25000"/>
              </a:prstClr>
            </a:outerShdw>
          </a:effectLst>
        </c:spPr>
      </c:pivotFmt>
      <c:pivotFmt>
        <c:idx val="25"/>
        <c:spPr>
          <a:solidFill>
            <a:srgbClr val="9F8CFF"/>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27"/>
        <c:spPr>
          <a:solidFill>
            <a:srgbClr val="FFF3BB"/>
          </a:solidFill>
          <a:ln>
            <a:noFill/>
          </a:ln>
          <a:effectLst>
            <a:outerShdw blurRad="317500" algn="ctr" rotWithShape="0">
              <a:prstClr val="black">
                <a:alpha val="25000"/>
              </a:prstClr>
            </a:outerShdw>
          </a:effectLst>
        </c:spPr>
        <c:dLbl>
          <c:idx val="0"/>
          <c:layout>
            <c:manualLayout>
              <c:x val="-0.16766326827737135"/>
              <c:y val="0.11432145288316459"/>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8"/>
        <c:spPr>
          <a:solidFill>
            <a:srgbClr val="EF5055"/>
          </a:solidFill>
          <a:ln>
            <a:noFill/>
          </a:ln>
          <a:effectLst>
            <a:outerShdw blurRad="317500" algn="ctr" rotWithShape="0">
              <a:prstClr val="black">
                <a:alpha val="25000"/>
              </a:prstClr>
            </a:outerShdw>
          </a:effectLst>
        </c:spPr>
        <c:dLbl>
          <c:idx val="0"/>
          <c:layout>
            <c:manualLayout>
              <c:x val="-2.7773166520735845E-2"/>
              <c:y val="-0.17472071907642781"/>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9"/>
        <c:spPr>
          <a:solidFill>
            <a:srgbClr val="99FFBA"/>
          </a:solidFill>
          <a:ln>
            <a:noFill/>
          </a:ln>
          <a:effectLst>
            <a:outerShdw blurRad="317500" algn="ctr" rotWithShape="0">
              <a:prstClr val="black">
                <a:alpha val="25000"/>
              </a:prstClr>
            </a:outerShdw>
          </a:effectLst>
        </c:spPr>
        <c:dLbl>
          <c:idx val="0"/>
          <c:layout>
            <c:manualLayout>
              <c:x val="0.19005651092472495"/>
              <c:y val="-4.1285980505557887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30"/>
        <c:spPr>
          <a:solidFill>
            <a:srgbClr val="4091FF"/>
          </a:solidFill>
          <a:ln>
            <a:noFill/>
          </a:ln>
          <a:effectLst>
            <a:outerShdw blurRad="317500" algn="ctr" rotWithShape="0">
              <a:prstClr val="black">
                <a:alpha val="25000"/>
              </a:prstClr>
            </a:outerShdw>
          </a:effectLst>
        </c:spPr>
        <c:dLbl>
          <c:idx val="0"/>
          <c:layout>
            <c:manualLayout>
              <c:x val="7.5048093126545562E-2"/>
              <c:y val="0.14929916555119827"/>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4C3003E6-F185-D742-9C37-482540E7403B}" type="VALUE">
                  <a:rPr lang="en-US"/>
                  <a:pPr>
                    <a:defRPr sz="2800">
                      <a:solidFill>
                        <a:schemeClr val="tx1"/>
                      </a:solidFill>
                    </a:defRPr>
                  </a:pPr>
                  <a:t>[VALUE]</a:t>
                </a:fld>
                <a:r>
                  <a:rPr lang="en-US" baseline="0"/>
                  <a:t>, </a:t>
                </a:r>
              </a:p>
              <a:p>
                <a:pPr>
                  <a:defRPr sz="2800">
                    <a:solidFill>
                      <a:schemeClr val="tx1"/>
                    </a:solidFill>
                  </a:defRPr>
                </a:pPr>
                <a:fld id="{E8688A3F-0BC8-914B-966A-0435FB55EF21}" type="PERCENTAGE">
                  <a:rPr lang="en-US" baseline="0"/>
                  <a:pPr>
                    <a:defRPr sz="2800">
                      <a:solidFill>
                        <a:schemeClr val="tx1"/>
                      </a:solidFill>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9.1124075354012915E-2"/>
                  <c:h val="0.14612157213159635"/>
                </c:manualLayout>
              </c15:layout>
              <c15:dlblFieldTable/>
              <c15:showDataLabelsRange val="0"/>
            </c:ext>
          </c:extLst>
        </c:dLbl>
      </c:pivotFmt>
      <c:pivotFmt>
        <c:idx val="31"/>
        <c:spPr>
          <a:solidFill>
            <a:srgbClr val="92421B"/>
          </a:solidFill>
          <a:ln>
            <a:noFill/>
          </a:ln>
          <a:effectLst>
            <a:outerShdw blurRad="317500" algn="ctr" rotWithShape="0">
              <a:prstClr val="black">
                <a:alpha val="25000"/>
              </a:prstClr>
            </a:outerShdw>
          </a:effectLst>
        </c:spPr>
        <c:dLbl>
          <c:idx val="0"/>
          <c:layout>
            <c:manualLayout>
              <c:x val="6.8904479587357959E-2"/>
              <c:y val="0.1564908327365"/>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78434574-CDC3-1C47-9C8C-6BAF239E5399}" type="VALUE">
                  <a:rPr lang="en-US"/>
                  <a:pPr>
                    <a:defRPr sz="2800">
                      <a:solidFill>
                        <a:schemeClr val="tx1"/>
                      </a:solidFill>
                    </a:defRPr>
                  </a:pPr>
                  <a:t>[VALUE]</a:t>
                </a:fld>
                <a:r>
                  <a:rPr lang="en-US" baseline="0"/>
                  <a:t>, </a:t>
                </a:r>
              </a:p>
              <a:p>
                <a:pPr>
                  <a:defRPr sz="2800">
                    <a:solidFill>
                      <a:schemeClr val="tx1"/>
                    </a:solidFill>
                  </a:defRPr>
                </a:pPr>
                <a:fld id="{18194882-9322-494F-8DA9-14AF06927B77}" type="PERCENTAGE">
                  <a:rPr lang="en-US" baseline="0"/>
                  <a:pPr>
                    <a:defRPr sz="2800">
                      <a:solidFill>
                        <a:schemeClr val="tx1"/>
                      </a:solidFill>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2"/>
        <c:spPr>
          <a:solidFill>
            <a:srgbClr val="9F8CFF"/>
          </a:solidFill>
          <a:ln>
            <a:noFill/>
          </a:ln>
          <a:effectLst>
            <a:outerShdw blurRad="317500" algn="ctr" rotWithShape="0">
              <a:prstClr val="black">
                <a:alpha val="25000"/>
              </a:prstClr>
            </a:outerShdw>
          </a:effectLst>
        </c:spPr>
        <c:dLbl>
          <c:idx val="0"/>
          <c:layout>
            <c:manualLayout>
              <c:x val="3.1249670227398087E-2"/>
              <c:y val="4.5514495069312745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Data!$AZ$1</c:f>
              <c:strCache>
                <c:ptCount val="1"/>
                <c:pt idx="0">
                  <c:v>Total</c:v>
                </c:pt>
              </c:strCache>
            </c:strRef>
          </c:tx>
          <c:dPt>
            <c:idx val="0"/>
            <c:bubble3D val="0"/>
            <c:spPr>
              <a:solidFill>
                <a:srgbClr val="FFF3BB"/>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75B-5A46-86B1-1D2E25C5C082}"/>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75B-5A46-86B1-1D2E25C5C082}"/>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75B-5A46-86B1-1D2E25C5C082}"/>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75B-5A46-86B1-1D2E25C5C082}"/>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75B-5A46-86B1-1D2E25C5C082}"/>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D65C-CE41-AD02-6C030D9D84B4}"/>
              </c:ext>
            </c:extLst>
          </c:dPt>
          <c:dLbls>
            <c:dLbl>
              <c:idx val="0"/>
              <c:layout>
                <c:manualLayout>
                  <c:x val="-0.16766326827737135"/>
                  <c:y val="0.11432145288316459"/>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5B-5A46-86B1-1D2E25C5C082}"/>
                </c:ext>
              </c:extLst>
            </c:dLbl>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Data!$AY$2:$AY$3</c:f>
              <c:strCache>
                <c:ptCount val="1"/>
                <c:pt idx="0">
                  <c:v>Writing</c:v>
                </c:pt>
              </c:strCache>
            </c:strRef>
          </c:cat>
          <c:val>
            <c:numRef>
              <c:f>Data!$AZ$2:$AZ$3</c:f>
              <c:numCache>
                <c:formatCode>[h]"h"mm"m";@</c:formatCode>
                <c:ptCount val="1"/>
                <c:pt idx="0">
                  <c:v>2.4305555555555556E-2</c:v>
                </c:pt>
              </c:numCache>
            </c:numRef>
          </c:val>
          <c:extLst>
            <c:ext xmlns:c16="http://schemas.microsoft.com/office/drawing/2014/chart" uri="{C3380CC4-5D6E-409C-BE32-E72D297353CC}">
              <c16:uniqueId val="{0000000A-E75B-5A46-86B1-1D2E25C5C08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525274625744918"/>
          <c:y val="0.16192225671055305"/>
          <c:w val="0.26041212340660153"/>
          <c:h val="0.68169940394025563"/>
        </c:manualLayout>
      </c:layout>
      <c:overlay val="0"/>
      <c:spPr>
        <a:solidFill>
          <a:schemeClr val="lt1">
            <a:alpha val="78000"/>
          </a:schemeClr>
        </a:solidFill>
        <a:ln>
          <a:noFill/>
        </a:ln>
        <a:effectLst/>
      </c:spPr>
      <c:txPr>
        <a:bodyPr rot="0" spcFirstLastPara="1" vertOverflow="ellipsis" vert="horz" wrap="square" anchor="ctr" anchorCtr="1"/>
        <a:lstStyle/>
        <a:p>
          <a:pPr>
            <a:defRPr sz="32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solidFill>
        <a:schemeClr val="dk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[AutoStudyLog.xlsm]Data!PivotTable3</c:name>
    <c:fmtId val="6"/>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Percentage of Focus time by</a:t>
            </a:r>
            <a:r>
              <a:rPr lang="en-US" sz="3200" baseline="0"/>
              <a:t>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999286477712805E-2"/>
          <c:y val="0.11430773313316313"/>
          <c:w val="0.6637616560571078"/>
          <c:h val="0.81680963639666715"/>
        </c:manualLayout>
      </c:layout>
      <c:barChart>
        <c:barDir val="bar"/>
        <c:grouping val="percent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Data!$AO$3:$AO$5</c:f>
              <c:multiLvlStrCache>
                <c:ptCount val="1"/>
                <c:lvl>
                  <c:pt idx="0">
                    <c:v>May</c:v>
                  </c:pt>
                </c:lvl>
                <c:lvl>
                  <c:pt idx="0">
                    <c:v>2</c:v>
                  </c:pt>
                </c:lvl>
              </c:multiLvlStrCache>
            </c:multiLvlStrRef>
          </c:cat>
          <c:val>
            <c:numRef>
              <c:f>Data!$AP$3:$AP$5</c:f>
              <c:numCache>
                <c:formatCode>General</c:formatCode>
                <c:ptCount val="1"/>
                <c:pt idx="0">
                  <c:v>2.4305555555555556E-2</c:v>
                </c:pt>
              </c:numCache>
            </c:numRef>
          </c:val>
          <c:extLst>
            <c:ext xmlns:c16="http://schemas.microsoft.com/office/drawing/2014/chart" uri="{C3380CC4-5D6E-409C-BE32-E72D297353CC}">
              <c16:uniqueId val="{00000000-39B9-AB41-8FF3-FA5E7EF44F10}"/>
            </c:ext>
          </c:extLst>
        </c:ser>
        <c:dLbls>
          <c:showLegendKey val="0"/>
          <c:showVal val="0"/>
          <c:showCatName val="0"/>
          <c:showSerName val="0"/>
          <c:showPercent val="0"/>
          <c:showBubbleSize val="0"/>
        </c:dLbls>
        <c:gapWidth val="150"/>
        <c:overlap val="100"/>
        <c:axId val="430130543"/>
        <c:axId val="430844191"/>
      </c:barChart>
      <c:catAx>
        <c:axId val="4301305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430844191"/>
        <c:crosses val="autoZero"/>
        <c:auto val="1"/>
        <c:lblAlgn val="ctr"/>
        <c:lblOffset val="100"/>
        <c:noMultiLvlLbl val="0"/>
      </c:catAx>
      <c:valAx>
        <c:axId val="43084419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30130543"/>
        <c:crosses val="autoZero"/>
        <c:crossBetween val="between"/>
      </c:valAx>
      <c:spPr>
        <a:noFill/>
        <a:ln>
          <a:noFill/>
        </a:ln>
        <a:effectLst/>
      </c:spPr>
    </c:plotArea>
    <c:legend>
      <c:legendPos val="r"/>
      <c:layout>
        <c:manualLayout>
          <c:xMode val="edge"/>
          <c:yMode val="edge"/>
          <c:x val="0.76556795842045067"/>
          <c:y val="0.26891213741373771"/>
          <c:w val="0.2063526906050043"/>
          <c:h val="0.56189409633016008"/>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[AutoStudyLog.xlsm]Data!PivotTable3</c:name>
    <c:fmtId val="7"/>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Focused time by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89617178617067E-2"/>
          <c:y val="8.4778445822601953E-2"/>
          <c:w val="0.66835563998792735"/>
          <c:h val="0.79196597856345308"/>
        </c:manualLayout>
      </c:layout>
      <c:barChart>
        <c:barDir val="bar"/>
        <c:grouping val="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Data!$AO$3:$AO$5</c:f>
              <c:multiLvlStrCache>
                <c:ptCount val="1"/>
                <c:lvl>
                  <c:pt idx="0">
                    <c:v>May</c:v>
                  </c:pt>
                </c:lvl>
                <c:lvl>
                  <c:pt idx="0">
                    <c:v>2</c:v>
                  </c:pt>
                </c:lvl>
              </c:multiLvlStrCache>
            </c:multiLvlStrRef>
          </c:cat>
          <c:val>
            <c:numRef>
              <c:f>Data!$AP$3:$AP$5</c:f>
              <c:numCache>
                <c:formatCode>General</c:formatCode>
                <c:ptCount val="1"/>
                <c:pt idx="0">
                  <c:v>2.4305555555555556E-2</c:v>
                </c:pt>
              </c:numCache>
            </c:numRef>
          </c:val>
          <c:extLst>
            <c:ext xmlns:c16="http://schemas.microsoft.com/office/drawing/2014/chart" uri="{C3380CC4-5D6E-409C-BE32-E72D297353CC}">
              <c16:uniqueId val="{00000000-C64E-E84F-8CB4-2D740715E4DA}"/>
            </c:ext>
          </c:extLst>
        </c:ser>
        <c:dLbls>
          <c:showLegendKey val="0"/>
          <c:showVal val="0"/>
          <c:showCatName val="0"/>
          <c:showSerName val="0"/>
          <c:showPercent val="0"/>
          <c:showBubbleSize val="0"/>
        </c:dLbls>
        <c:gapWidth val="150"/>
        <c:overlap val="100"/>
        <c:axId val="615743599"/>
        <c:axId val="615729215"/>
      </c:barChart>
      <c:catAx>
        <c:axId val="615743599"/>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Session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615729215"/>
        <c:crosses val="autoZero"/>
        <c:auto val="1"/>
        <c:lblAlgn val="ctr"/>
        <c:lblOffset val="100"/>
        <c:noMultiLvlLbl val="0"/>
      </c:catAx>
      <c:valAx>
        <c:axId val="6157292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Focused Time</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615743599"/>
        <c:crosses val="autoZero"/>
        <c:crossBetween val="between"/>
      </c:valAx>
      <c:spPr>
        <a:noFill/>
        <a:ln>
          <a:noFill/>
        </a:ln>
        <a:effectLst/>
      </c:spPr>
    </c:plotArea>
    <c:legend>
      <c:legendPos val="r"/>
      <c:layout>
        <c:manualLayout>
          <c:xMode val="edge"/>
          <c:yMode val="edge"/>
          <c:x val="0.75846738764724031"/>
          <c:y val="0.20266590901005374"/>
          <c:w val="0.22831014259694626"/>
          <c:h val="0.58963576017361263"/>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[AutoStudyLog.xlsm]Data!PivotTable5</c:name>
    <c:fmtId val="2"/>
  </c:pivotSource>
  <c:chart>
    <c:title>
      <c:tx>
        <c:rich>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r>
              <a:rPr lang="en-US" sz="4000"/>
              <a:t>Average</a:t>
            </a:r>
            <a:r>
              <a:rPr lang="en-US" sz="4000" baseline="0"/>
              <a:t> Rating day by day</a:t>
            </a:r>
          </a:p>
        </c:rich>
      </c:tx>
      <c:layout>
        <c:manualLayout>
          <c:xMode val="edge"/>
          <c:yMode val="edge"/>
          <c:x val="0.27718288588923878"/>
          <c:y val="8.9947706386605871E-3"/>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Data!$BA$2:$BA$3</c:f>
              <c:strCache>
                <c:ptCount val="1"/>
                <c:pt idx="0">
                  <c:v>16-May</c:v>
                </c:pt>
              </c:strCache>
            </c:strRef>
          </c:cat>
          <c:val>
            <c:numRef>
              <c:f>Data!$BB$2:$BB$3</c:f>
              <c:numCache>
                <c:formatCode>General</c:formatCode>
                <c:ptCount val="1"/>
              </c:numCache>
            </c:numRef>
          </c:val>
          <c:smooth val="0"/>
          <c:extLst>
            <c:ext xmlns:c16="http://schemas.microsoft.com/office/drawing/2014/chart" uri="{C3380CC4-5D6E-409C-BE32-E72D297353CC}">
              <c16:uniqueId val="{00000000-3B41-E045-8DFB-B53C06163857}"/>
            </c:ext>
          </c:extLst>
        </c:ser>
        <c:dLbls>
          <c:showLegendKey val="0"/>
          <c:showVal val="0"/>
          <c:showCatName val="0"/>
          <c:showSerName val="0"/>
          <c:showPercent val="0"/>
          <c:showBubbleSize val="0"/>
        </c:dLbls>
        <c:marker val="1"/>
        <c:smooth val="0"/>
        <c:axId val="575107807"/>
        <c:axId val="1695215200"/>
      </c:lineChart>
      <c:catAx>
        <c:axId val="57510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695215200"/>
        <c:crosses val="autoZero"/>
        <c:auto val="1"/>
        <c:lblAlgn val="ctr"/>
        <c:lblOffset val="100"/>
        <c:noMultiLvlLbl val="0"/>
      </c:catAx>
      <c:valAx>
        <c:axId val="169521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575107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[AutoStudyLog.xlsm]Data!PivotTable6</c:name>
    <c:fmtId val="0"/>
  </c:pivotSource>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Average Rating</a:t>
            </a:r>
            <a:r>
              <a:rPr lang="en-US" sz="4400" baseline="0"/>
              <a:t> by Session</a:t>
            </a:r>
            <a:endParaRPr lang="en-US" sz="4400"/>
          </a:p>
        </c:rich>
      </c:tx>
      <c:overlay val="0"/>
      <c:spPr>
        <a:noFill/>
        <a:ln>
          <a:noFill/>
        </a:ln>
        <a:effectLst/>
      </c:spPr>
      <c:txPr>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Data!$BD$1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Data!$BC$2:$BC$3</c:f>
              <c:strCache>
                <c:ptCount val="1"/>
                <c:pt idx="0">
                  <c:v>2</c:v>
                </c:pt>
              </c:strCache>
            </c:strRef>
          </c:cat>
          <c:val>
            <c:numRef>
              <c:f>Data!$BD$2:$BD$3</c:f>
              <c:numCache>
                <c:formatCode>General</c:formatCode>
                <c:ptCount val="1"/>
              </c:numCache>
            </c:numRef>
          </c:val>
          <c:smooth val="0"/>
          <c:extLst>
            <c:ext xmlns:c16="http://schemas.microsoft.com/office/drawing/2014/chart" uri="{C3380CC4-5D6E-409C-BE32-E72D297353CC}">
              <c16:uniqueId val="{00000000-69AF-2346-95EF-117DF41F4C1A}"/>
            </c:ext>
          </c:extLst>
        </c:ser>
        <c:dLbls>
          <c:showLegendKey val="0"/>
          <c:showVal val="0"/>
          <c:showCatName val="0"/>
          <c:showSerName val="0"/>
          <c:showPercent val="0"/>
          <c:showBubbleSize val="0"/>
        </c:dLbls>
        <c:marker val="1"/>
        <c:smooth val="0"/>
        <c:axId val="1359455199"/>
        <c:axId val="1456919183"/>
      </c:lineChart>
      <c:catAx>
        <c:axId val="135945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456919183"/>
        <c:crosses val="autoZero"/>
        <c:auto val="1"/>
        <c:lblAlgn val="ctr"/>
        <c:lblOffset val="100"/>
        <c:noMultiLvlLbl val="0"/>
      </c:catAx>
      <c:valAx>
        <c:axId val="1456919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1359455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14769</xdr:colOff>
      <xdr:row>0</xdr:row>
      <xdr:rowOff>44301</xdr:rowOff>
    </xdr:from>
    <xdr:to>
      <xdr:col>2</xdr:col>
      <xdr:colOff>0</xdr:colOff>
      <xdr:row>6</xdr:row>
      <xdr:rowOff>324883</xdr:rowOff>
    </xdr:to>
    <xdr:grpSp>
      <xdr:nvGrpSpPr>
        <xdr:cNvPr id="7" name="Group 6">
          <a:extLst>
            <a:ext uri="{FF2B5EF4-FFF2-40B4-BE49-F238E27FC236}">
              <a16:creationId xmlns:a16="http://schemas.microsoft.com/office/drawing/2014/main" id="{FDFE290F-A292-613F-5D28-FAA5AFA24955}"/>
            </a:ext>
          </a:extLst>
        </xdr:cNvPr>
        <xdr:cNvGrpSpPr/>
      </xdr:nvGrpSpPr>
      <xdr:grpSpPr>
        <a:xfrm>
          <a:off x="14769" y="44301"/>
          <a:ext cx="1822195" cy="2933975"/>
          <a:chOff x="59069" y="44302"/>
          <a:chExt cx="1668722" cy="2428248"/>
        </a:xfrm>
      </xdr:grpSpPr>
      <xdr:sp macro="[0]!ForceEndTask" textlink="">
        <xdr:nvSpPr>
          <xdr:cNvPr id="3" name="Hexagon 2">
            <a:extLst>
              <a:ext uri="{FF2B5EF4-FFF2-40B4-BE49-F238E27FC236}">
                <a16:creationId xmlns:a16="http://schemas.microsoft.com/office/drawing/2014/main" id="{A9B8B73E-62F2-996E-DC9A-249228DD88D6}"/>
              </a:ext>
            </a:extLst>
          </xdr:cNvPr>
          <xdr:cNvSpPr/>
        </xdr:nvSpPr>
        <xdr:spPr>
          <a:xfrm>
            <a:off x="251206" y="1476346"/>
            <a:ext cx="1090434" cy="996204"/>
          </a:xfrm>
          <a:prstGeom prst="hexagon">
            <a:avLst/>
          </a:prstGeom>
          <a:solidFill>
            <a:srgbClr val="CB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FORCE FINISH WORK</a:t>
            </a:r>
          </a:p>
        </xdr:txBody>
      </xdr:sp>
      <xdr:sp macro="[0]!StartTask" textlink="">
        <xdr:nvSpPr>
          <xdr:cNvPr id="2" name="Right Arrow 1">
            <a:extLst>
              <a:ext uri="{FF2B5EF4-FFF2-40B4-BE49-F238E27FC236}">
                <a16:creationId xmlns:a16="http://schemas.microsoft.com/office/drawing/2014/main" id="{AC97C2D9-402A-1D43-7E51-4538E2AA4693}"/>
              </a:ext>
            </a:extLst>
          </xdr:cNvPr>
          <xdr:cNvSpPr/>
        </xdr:nvSpPr>
        <xdr:spPr>
          <a:xfrm>
            <a:off x="88605" y="733290"/>
            <a:ext cx="1639186" cy="891130"/>
          </a:xfrm>
          <a:prstGeom prst="rightArrow">
            <a:avLst/>
          </a:prstGeom>
          <a:solidFill>
            <a:srgbClr val="00C20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JUST</a:t>
            </a:r>
            <a:r>
              <a:rPr lang="en-US" sz="1100" baseline="0"/>
              <a:t> STARTED WORK</a:t>
            </a:r>
            <a:endParaRPr lang="en-US" sz="1100"/>
          </a:p>
        </xdr:txBody>
      </xdr:sp>
      <xdr:sp macro="[0]!RetroFinish" textlink="">
        <xdr:nvSpPr>
          <xdr:cNvPr id="4" name="Right Arrow 3">
            <a:extLst>
              <a:ext uri="{FF2B5EF4-FFF2-40B4-BE49-F238E27FC236}">
                <a16:creationId xmlns:a16="http://schemas.microsoft.com/office/drawing/2014/main" id="{5494A73E-F351-900D-91A7-052AB57DAD2A}"/>
              </a:ext>
            </a:extLst>
          </xdr:cNvPr>
          <xdr:cNvSpPr/>
        </xdr:nvSpPr>
        <xdr:spPr>
          <a:xfrm rot="10800000" flipV="1">
            <a:off x="59069" y="44302"/>
            <a:ext cx="1565350" cy="856512"/>
          </a:xfrm>
          <a:prstGeom prst="rightArrow">
            <a:avLst/>
          </a:prstGeom>
          <a:solidFill>
            <a:srgbClr val="2A31E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RETRO FINISH WORK</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1002832</xdr:colOff>
      <xdr:row>0</xdr:row>
      <xdr:rowOff>40968</xdr:rowOff>
    </xdr:from>
    <xdr:to>
      <xdr:col>21</xdr:col>
      <xdr:colOff>530170</xdr:colOff>
      <xdr:row>28</xdr:row>
      <xdr:rowOff>190380</xdr:rowOff>
    </xdr:to>
    <xdr:graphicFrame macro="">
      <xdr:nvGraphicFramePr>
        <xdr:cNvPr id="2" name="Chart 1">
          <a:extLst>
            <a:ext uri="{FF2B5EF4-FFF2-40B4-BE49-F238E27FC236}">
              <a16:creationId xmlns:a16="http://schemas.microsoft.com/office/drawing/2014/main" id="{ABC371F2-FE67-92EB-766E-00DADF0D9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546944</xdr:colOff>
      <xdr:row>59</xdr:row>
      <xdr:rowOff>162978</xdr:rowOff>
    </xdr:from>
    <xdr:to>
      <xdr:col>21</xdr:col>
      <xdr:colOff>491413</xdr:colOff>
      <xdr:row>89</xdr:row>
      <xdr:rowOff>160459</xdr:rowOff>
    </xdr:to>
    <xdr:graphicFrame macro="">
      <xdr:nvGraphicFramePr>
        <xdr:cNvPr id="10" name="Chart 9">
          <a:extLst>
            <a:ext uri="{FF2B5EF4-FFF2-40B4-BE49-F238E27FC236}">
              <a16:creationId xmlns:a16="http://schemas.microsoft.com/office/drawing/2014/main" id="{D9941E5A-3C96-3567-6600-F3B2B1B05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491247</xdr:colOff>
      <xdr:row>29</xdr:row>
      <xdr:rowOff>85475</xdr:rowOff>
    </xdr:from>
    <xdr:to>
      <xdr:col>21</xdr:col>
      <xdr:colOff>485589</xdr:colOff>
      <xdr:row>59</xdr:row>
      <xdr:rowOff>117141</xdr:rowOff>
    </xdr:to>
    <xdr:graphicFrame macro="">
      <xdr:nvGraphicFramePr>
        <xdr:cNvPr id="11" name="Chart 10">
          <a:extLst>
            <a:ext uri="{FF2B5EF4-FFF2-40B4-BE49-F238E27FC236}">
              <a16:creationId xmlns:a16="http://schemas.microsoft.com/office/drawing/2014/main" id="{CBA3B2D8-41C1-3E3A-3605-19200F11D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358444</xdr:colOff>
      <xdr:row>0</xdr:row>
      <xdr:rowOff>139717</xdr:rowOff>
    </xdr:from>
    <xdr:to>
      <xdr:col>35</xdr:col>
      <xdr:colOff>917222</xdr:colOff>
      <xdr:row>45</xdr:row>
      <xdr:rowOff>17639</xdr:rowOff>
    </xdr:to>
    <xdr:graphicFrame macro="">
      <xdr:nvGraphicFramePr>
        <xdr:cNvPr id="14" name="Chart 13">
          <a:extLst>
            <a:ext uri="{FF2B5EF4-FFF2-40B4-BE49-F238E27FC236}">
              <a16:creationId xmlns:a16="http://schemas.microsoft.com/office/drawing/2014/main" id="{5A22485D-9EEB-8EE9-1415-DF851EDD7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345352</xdr:colOff>
      <xdr:row>45</xdr:row>
      <xdr:rowOff>70555</xdr:rowOff>
    </xdr:from>
    <xdr:to>
      <xdr:col>35</xdr:col>
      <xdr:colOff>913509</xdr:colOff>
      <xdr:row>89</xdr:row>
      <xdr:rowOff>137397</xdr:rowOff>
    </xdr:to>
    <xdr:graphicFrame macro="">
      <xdr:nvGraphicFramePr>
        <xdr:cNvPr id="16" name="Chart 15">
          <a:extLst>
            <a:ext uri="{FF2B5EF4-FFF2-40B4-BE49-F238E27FC236}">
              <a16:creationId xmlns:a16="http://schemas.microsoft.com/office/drawing/2014/main" id="{29482306-C286-479E-AA62-296DF6499B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sashaloayza/Documents/MISC/StudySheetBlank.xlsm" TargetMode="External"/><Relationship Id="rId1" Type="http://schemas.openxmlformats.org/officeDocument/2006/relationships/externalLinkPath" Target="StudySheet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udy"/>
      <sheetName val="SessionSheet"/>
      <sheetName val="Data"/>
    </sheet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30.499606712961" createdVersion="8" refreshedVersion="8" minRefreshableVersion="3" recordCount="1" xr:uid="{64B793EB-01AA-6541-8A43-57750457E6D0}">
  <cacheSource type="worksheet">
    <worksheetSource name="StudyLog"/>
  </cacheSource>
  <cacheFields count="13">
    <cacheField name="SESSION" numFmtId="1">
      <sharedItems containsSemiMixedTypes="0" containsString="0" containsNumber="1" containsInteger="1" minValue="1" maxValue="13" count="13">
        <n v="2"/>
        <n v="13" u="1"/>
        <n v="12" u="1"/>
        <n v="11" u="1"/>
        <n v="10" u="1"/>
        <n v="9" u="1"/>
        <n v="8" u="1"/>
        <n v="7" u="1"/>
        <n v="6" u="1"/>
        <n v="5" u="1"/>
        <n v="4" u="1"/>
        <n v="3" u="1"/>
        <n v="1" u="1"/>
      </sharedItems>
    </cacheField>
    <cacheField name="DAY" numFmtId="164">
      <sharedItems containsSemiMixedTypes="0" containsNonDate="0" containsDate="1" containsString="0" minDate="2024-05-16T00:00:00" maxDate="2024-05-17T00:00:00" count="1">
        <d v="2024-05-16T00:00:00"/>
      </sharedItems>
      <fieldGroup par="12" base="1">
        <rangePr groupBy="days" startDate="2024-05-16T00:00:00" endDate="2024-05-17T00:00:00"/>
        <groupItems count="368">
          <s v="&lt;5/16/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5/17/24"/>
        </groupItems>
      </fieldGroup>
    </cacheField>
    <cacheField name="TASK" numFmtId="0">
      <sharedItems/>
    </cacheField>
    <cacheField name="START" numFmtId="165">
      <sharedItems containsSemiMixedTypes="0" containsNonDate="0" containsDate="1" containsString="0" minDate="2024-05-16T14:10:58" maxDate="2024-05-16T14:10:58"/>
    </cacheField>
    <cacheField name="END" numFmtId="165">
      <sharedItems containsSemiMixedTypes="0" containsNonDate="0" containsDate="1" containsString="0" minDate="2024-05-16T15:00:58" maxDate="2024-05-16T15:00:58"/>
    </cacheField>
    <cacheField name="LENGTH" numFmtId="168">
      <sharedItems containsSemiMixedTypes="0" containsNonDate="0" containsDate="1" containsString="0" minDate="1899-12-30T00:35:00" maxDate="1899-12-30T00:35:00"/>
    </cacheField>
    <cacheField name="PAUSED" numFmtId="166">
      <sharedItems containsSemiMixedTypes="0" containsString="0" containsNumber="1" containsInteger="1" minValue="15" maxValue="15"/>
    </cacheField>
    <cacheField name="RATING" numFmtId="0">
      <sharedItems containsNonDate="0" containsString="0" containsBlank="1"/>
    </cacheField>
    <cacheField name="POMO" numFmtId="166">
      <sharedItems containsSemiMixedTypes="0" containsString="0" containsNumber="1" containsInteger="1" minValue="50" maxValue="50"/>
    </cacheField>
    <cacheField name="TAG" numFmtId="0">
      <sharedItems containsSemiMixedTypes="0" containsString="0" containsNumber="1" containsInteger="1" minValue="1" maxValue="6" count="6">
        <n v="1"/>
        <n v="2" u="1"/>
        <n v="4" u="1"/>
        <n v="6" u="1"/>
        <n v="3" u="1"/>
        <n v="5" u="1"/>
      </sharedItems>
    </cacheField>
    <cacheField name="COUNT" numFmtId="0">
      <sharedItems containsSemiMixedTypes="0" containsString="0" containsNumber="1" containsInteger="1" minValue="1" maxValue="1"/>
    </cacheField>
    <cacheField name="FormatDate" numFmtId="170">
      <sharedItems containsSemiMixedTypes="0" containsNonDate="0" containsDate="1" containsString="0" minDate="2024-05-16T00:00:00" maxDate="2024-05-17T00:00:00"/>
    </cacheField>
    <cacheField name="Months" numFmtId="0" databaseField="0">
      <fieldGroup base="1">
        <rangePr groupBy="months" startDate="2024-05-16T00:00:00" endDate="2024-05-17T00:00:00"/>
        <groupItems count="14">
          <s v="&lt;5/16/24"/>
          <s v="Jan"/>
          <s v="Feb"/>
          <s v="Mar"/>
          <s v="Apr"/>
          <s v="May"/>
          <s v="Jun"/>
          <s v="Jul"/>
          <s v="Aug"/>
          <s v="Sep"/>
          <s v="Oct"/>
          <s v="Nov"/>
          <s v="Dec"/>
          <s v="&gt;5/17/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s v="finale sketches."/>
    <d v="2024-05-16T14:10:58"/>
    <d v="2024-05-16T15:00:58"/>
    <d v="1899-12-30T00:35:00"/>
    <n v="15"/>
    <m/>
    <n v="50"/>
    <x v="0"/>
    <n v="1"/>
    <d v="2024-05-16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C873E4-6906-DA4C-BF86-0B68507531AF}"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C1:BD3" firstHeaderRow="1" firstDataRow="1" firstDataCol="1"/>
  <pivotFields count="13">
    <pivotField axis="axisRow" numFmtId="1" showAll="0">
      <items count="14">
        <item m="1" x="12"/>
        <item x="0"/>
        <item m="1" x="11"/>
        <item m="1" x="10"/>
        <item m="1" x="9"/>
        <item m="1" x="8"/>
        <item m="1" x="7"/>
        <item m="1" x="6"/>
        <item m="1" x="5"/>
        <item m="1" x="4"/>
        <item m="1" x="1"/>
        <item m="1" x="2"/>
        <item m="1" x="3"/>
        <item t="default"/>
      </items>
    </pivotField>
    <pivotField showAll="0"/>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pivotFields>
  <rowFields count="1">
    <field x="0"/>
  </rowFields>
  <rowItems count="2">
    <i>
      <x v="1"/>
    </i>
    <i t="grand">
      <x/>
    </i>
  </rowItems>
  <colItems count="1">
    <i/>
  </colItems>
  <dataFields count="1">
    <dataField name="Average of RATING"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BCCEC6-ADD9-4740-BFDF-21D456D91BBE}"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A1:BB3" firstHeaderRow="1" firstDataRow="1" firstDataCol="1"/>
  <pivotFields count="13">
    <pivotField numFmtId="1" showAll="0"/>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items count="14">
        <item sd="0" x="0"/>
        <item sd="0" x="1"/>
        <item x="2"/>
        <item x="3"/>
        <item sd="0" x="4"/>
        <item sd="0" x="5"/>
        <item sd="0" x="6"/>
        <item sd="0" x="7"/>
        <item sd="0" x="8"/>
        <item sd="0" x="9"/>
        <item sd="0" x="10"/>
        <item sd="0" x="11"/>
        <item sd="0" x="12"/>
        <item sd="0" x="13"/>
      </items>
    </pivotField>
  </pivotFields>
  <rowFields count="1">
    <field x="1"/>
  </rowFields>
  <rowItems count="2">
    <i>
      <x v="136"/>
    </i>
    <i t="grand">
      <x/>
    </i>
  </rowItems>
  <colItems count="1">
    <i/>
  </colItems>
  <dataFields count="1">
    <dataField name="Average of RATING" fld="7" subtotal="average"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1C6AE8-1DE5-7C4D-8A78-8E3C9794AAD7}"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W1:AX3" firstHeaderRow="1" firstDataRow="1" firstDataCol="1"/>
  <pivotFields count="13">
    <pivotField axis="axisRow" numFmtId="1" showAll="0">
      <items count="14">
        <item m="1" x="12"/>
        <item x="0"/>
        <item m="1" x="11"/>
        <item m="1" x="10"/>
        <item m="1" x="9"/>
        <item m="1" x="8"/>
        <item m="1" x="7"/>
        <item m="1" x="6"/>
        <item m="1" x="5"/>
        <item m="1" x="4"/>
        <item m="1" x="1"/>
        <item m="1" x="2"/>
        <item m="1" x="3"/>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2">
    <i>
      <x v="1"/>
    </i>
    <i t="grand">
      <x/>
    </i>
  </rowItems>
  <colItems count="1">
    <i/>
  </colItems>
  <dataFields count="1">
    <dataField name="Average of RATING"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091E97-D0E8-D54F-9641-0AF9936D79C0}" name="PivotTable3" cacheId="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O1:AQ5" firstHeaderRow="1" firstDataRow="2" firstDataCol="1"/>
  <pivotFields count="13">
    <pivotField axis="axisRow" numFmtId="1" showAll="0" sortType="ascending">
      <items count="14">
        <item m="1" x="12"/>
        <item x="0"/>
        <item m="1" x="11"/>
        <item m="1" x="10"/>
        <item m="1" x="9"/>
        <item m="1" x="8"/>
        <item m="1" x="7"/>
        <item m="1" x="6"/>
        <item m="1" x="5"/>
        <item m="1" x="4"/>
        <item m="1" x="3"/>
        <item m="1" x="2"/>
        <item m="1" x="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dataField="1" numFmtId="168" showAll="0"/>
    <pivotField numFmtId="166" showAll="0"/>
    <pivotField showAll="0"/>
    <pivotField showAll="0"/>
    <pivotField axis="axisCol" showAll="0">
      <items count="7">
        <item n="Writing" x="0"/>
        <item n="Piano" m="1" x="1"/>
        <item n="Counterpoint" m="1" x="4"/>
        <item n="Analysis" m="1" x="2"/>
        <item n="Reading" m="1" x="5"/>
        <item n="Orchestration" m="1" x="3"/>
        <item t="default"/>
      </items>
    </pivotField>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0"/>
    <field x="12"/>
  </rowFields>
  <rowItems count="3">
    <i>
      <x v="1"/>
    </i>
    <i r="1">
      <x v="5"/>
    </i>
    <i t="grand">
      <x/>
    </i>
  </rowItems>
  <colFields count="1">
    <field x="9"/>
  </colFields>
  <colItems count="2">
    <i>
      <x/>
    </i>
    <i t="grand">
      <x/>
    </i>
  </colItems>
  <dataFields count="1">
    <dataField name="Sum of LENGTH" fld="5" baseField="0" baseItem="0"/>
  </dataFields>
  <formats count="2">
    <format dxfId="21">
      <pivotArea collapsedLevelsAreSubtotals="1" fieldPosition="0">
        <references count="1">
          <reference field="0" count="0"/>
        </references>
      </pivotArea>
    </format>
    <format dxfId="20">
      <pivotArea grandRow="1" outline="0" collapsedLevelsAreSubtotals="1" fieldPosition="0"/>
    </format>
  </formats>
  <chartFormats count="12">
    <chartFormat chart="6" format="0" series="1">
      <pivotArea type="data" outline="0" fieldPosition="0">
        <references count="2">
          <reference field="4294967294" count="1" selected="0">
            <x v="0"/>
          </reference>
          <reference field="9" count="1" selected="0">
            <x v="0"/>
          </reference>
        </references>
      </pivotArea>
    </chartFormat>
    <chartFormat chart="6" format="1" series="1">
      <pivotArea type="data" outline="0" fieldPosition="0">
        <references count="2">
          <reference field="4294967294" count="1" selected="0">
            <x v="0"/>
          </reference>
          <reference field="9" count="1" selected="0">
            <x v="1"/>
          </reference>
        </references>
      </pivotArea>
    </chartFormat>
    <chartFormat chart="6" format="2" series="1">
      <pivotArea type="data" outline="0" fieldPosition="0">
        <references count="2">
          <reference field="4294967294" count="1" selected="0">
            <x v="0"/>
          </reference>
          <reference field="9" count="1" selected="0">
            <x v="2"/>
          </reference>
        </references>
      </pivotArea>
    </chartFormat>
    <chartFormat chart="6" format="3" series="1">
      <pivotArea type="data" outline="0" fieldPosition="0">
        <references count="2">
          <reference field="4294967294" count="1" selected="0">
            <x v="0"/>
          </reference>
          <reference field="9" count="1" selected="0">
            <x v="3"/>
          </reference>
        </references>
      </pivotArea>
    </chartFormat>
    <chartFormat chart="6" format="4" series="1">
      <pivotArea type="data" outline="0" fieldPosition="0">
        <references count="2">
          <reference field="4294967294" count="1" selected="0">
            <x v="0"/>
          </reference>
          <reference field="9" count="1" selected="0">
            <x v="4"/>
          </reference>
        </references>
      </pivotArea>
    </chartFormat>
    <chartFormat chart="6" format="5" series="1">
      <pivotArea type="data" outline="0" fieldPosition="0">
        <references count="2">
          <reference field="4294967294" count="1" selected="0">
            <x v="0"/>
          </reference>
          <reference field="9" count="1" selected="0">
            <x v="5"/>
          </reference>
        </references>
      </pivotArea>
    </chartFormat>
    <chartFormat chart="7" format="0" series="1">
      <pivotArea type="data" outline="0" fieldPosition="0">
        <references count="2">
          <reference field="4294967294" count="1" selected="0">
            <x v="0"/>
          </reference>
          <reference field="9" count="1" selected="0">
            <x v="0"/>
          </reference>
        </references>
      </pivotArea>
    </chartFormat>
    <chartFormat chart="7" format="1" series="1">
      <pivotArea type="data" outline="0" fieldPosition="0">
        <references count="2">
          <reference field="4294967294" count="1" selected="0">
            <x v="0"/>
          </reference>
          <reference field="9" count="1" selected="0">
            <x v="1"/>
          </reference>
        </references>
      </pivotArea>
    </chartFormat>
    <chartFormat chart="7" format="2" series="1">
      <pivotArea type="data" outline="0" fieldPosition="0">
        <references count="2">
          <reference field="4294967294" count="1" selected="0">
            <x v="0"/>
          </reference>
          <reference field="9" count="1" selected="0">
            <x v="2"/>
          </reference>
        </references>
      </pivotArea>
    </chartFormat>
    <chartFormat chart="7" format="3" series="1">
      <pivotArea type="data" outline="0" fieldPosition="0">
        <references count="2">
          <reference field="4294967294" count="1" selected="0">
            <x v="0"/>
          </reference>
          <reference field="9" count="1" selected="0">
            <x v="3"/>
          </reference>
        </references>
      </pivotArea>
    </chartFormat>
    <chartFormat chart="7" format="4" series="1">
      <pivotArea type="data" outline="0" fieldPosition="0">
        <references count="2">
          <reference field="4294967294" count="1" selected="0">
            <x v="0"/>
          </reference>
          <reference field="9" count="1" selected="0">
            <x v="4"/>
          </reference>
        </references>
      </pivotArea>
    </chartFormat>
    <chartFormat chart="7" format="5"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tudy time by discipline across session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407730-B3D4-F84C-A20B-6383225F6AB2}"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Y1:AZ3" firstHeaderRow="1" firstDataRow="1" firstDataCol="1"/>
  <pivotFields count="13">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dataField="1" numFmtId="168" showAll="0"/>
    <pivotField numFmtId="166" showAll="0"/>
    <pivotField showAll="0"/>
    <pivotField showAll="0"/>
    <pivotField axis="axisRow" showAll="0">
      <items count="7">
        <item n="Writing" x="0"/>
        <item n="Piano" m="1" x="1"/>
        <item n="Counterpoint" m="1" x="4"/>
        <item n="Analysis" m="1" x="2"/>
        <item n="Orchestration" m="1" x="3"/>
        <item n="Reading" m="1" x="5"/>
        <item t="default"/>
      </items>
    </pivotField>
    <pivotField showAll="0"/>
    <pivotField numFmtId="170" showAll="0"/>
    <pivotField showAll="0">
      <items count="15">
        <item x="0"/>
        <item x="1"/>
        <item x="2"/>
        <item x="3"/>
        <item x="4"/>
        <item x="5"/>
        <item x="6"/>
        <item x="7"/>
        <item x="8"/>
        <item x="9"/>
        <item x="10"/>
        <item x="11"/>
        <item x="12"/>
        <item x="13"/>
        <item t="default"/>
      </items>
    </pivotField>
  </pivotFields>
  <rowFields count="1">
    <field x="9"/>
  </rowFields>
  <rowItems count="2">
    <i>
      <x/>
    </i>
    <i t="grand">
      <x/>
    </i>
  </rowItems>
  <colItems count="1">
    <i/>
  </colItems>
  <dataFields count="1">
    <dataField name="Sum of LENGTH" fld="5" baseField="0" baseItem="0" numFmtId="168"/>
  </dataFields>
  <formats count="2">
    <format dxfId="23">
      <pivotArea outline="0" collapsedLevelsAreSubtotals="1" fieldPosition="0">
        <references count="1">
          <reference field="4294967294" count="1" selected="0">
            <x v="0"/>
          </reference>
        </references>
      </pivotArea>
    </format>
    <format dxfId="22">
      <pivotArea dataOnly="0" labelOnly="1" outline="0" fieldPosition="0">
        <references count="1">
          <reference field="4294967294" count="1">
            <x v="0"/>
          </reference>
        </references>
      </pivotArea>
    </format>
  </formats>
  <chartFormats count="7">
    <chartFormat chart="0" format="26" series="1">
      <pivotArea type="data" outline="0" fieldPosition="0">
        <references count="1">
          <reference field="4294967294" count="1" selected="0">
            <x v="0"/>
          </reference>
        </references>
      </pivotArea>
    </chartFormat>
    <chartFormat chart="0" format="27">
      <pivotArea type="data" outline="0" fieldPosition="0">
        <references count="2">
          <reference field="4294967294" count="1" selected="0">
            <x v="0"/>
          </reference>
          <reference field="9" count="1" selected="0">
            <x v="0"/>
          </reference>
        </references>
      </pivotArea>
    </chartFormat>
    <chartFormat chart="0" format="28">
      <pivotArea type="data" outline="0" fieldPosition="0">
        <references count="2">
          <reference field="4294967294" count="1" selected="0">
            <x v="0"/>
          </reference>
          <reference field="9" count="1" selected="0">
            <x v="1"/>
          </reference>
        </references>
      </pivotArea>
    </chartFormat>
    <chartFormat chart="0" format="29">
      <pivotArea type="data" outline="0" fieldPosition="0">
        <references count="2">
          <reference field="4294967294" count="1" selected="0">
            <x v="0"/>
          </reference>
          <reference field="9" count="1" selected="0">
            <x v="2"/>
          </reference>
        </references>
      </pivotArea>
    </chartFormat>
    <chartFormat chart="0" format="30">
      <pivotArea type="data" outline="0" fieldPosition="0">
        <references count="2">
          <reference field="4294967294" count="1" selected="0">
            <x v="0"/>
          </reference>
          <reference field="9" count="1" selected="0">
            <x v="3"/>
          </reference>
        </references>
      </pivotArea>
    </chartFormat>
    <chartFormat chart="0" format="31">
      <pivotArea type="data" outline="0" fieldPosition="0">
        <references count="2">
          <reference field="4294967294" count="1" selected="0">
            <x v="0"/>
          </reference>
          <reference field="9" count="1" selected="0">
            <x v="4"/>
          </reference>
        </references>
      </pivotArea>
    </chartFormat>
    <chartFormat chart="0" format="32">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B7F89D-C346-1741-B2BB-4D75BCD2317C}" name="StudyLog" displayName="StudyLog" ref="A8:L9" headerRowDxfId="40" dataDxfId="38" totalsRowDxfId="36" headerRowBorderDxfId="39" tableBorderDxfId="37" headerRowCellStyle="Accent3">
  <autoFilter ref="A8:L9" xr:uid="{EDB7F89D-C346-1741-B2BB-4D75BCD231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7" xr3:uid="{7B47DBDA-9914-DD40-ADB2-8C11878B5385}" name="SESSION" dataDxfId="35"/>
    <tableColumn id="1" xr3:uid="{615F18E5-ABB7-D748-B7AB-3037B2E88145}" name="DAY" totalsRowLabel="Total" dataDxfId="2"/>
    <tableColumn id="2" xr3:uid="{FA0F53DD-8942-B946-8AA8-74DA2EDFD694}" name="TASK" dataDxfId="0" dataCellStyle="Accent3"/>
    <tableColumn id="3" xr3:uid="{19D30B60-8F52-0649-8E2A-7379731B08E1}" name="START" dataDxfId="1"/>
    <tableColumn id="19" xr3:uid="{A84501EF-A8F0-304B-9229-B86103748D5E}" name="END" dataDxfId="34"/>
    <tableColumn id="4" xr3:uid="{D312E88E-E668-9648-9655-84915ED299E1}" name="LENGTH" dataDxfId="33">
      <calculatedColumnFormula>StudyLog[[#This Row],[END]]-StudyLog[[#This Row],[START]]-(StudyLog[[#This Row],[PAUSED]]/(24*60))</calculatedColumnFormula>
    </tableColumn>
    <tableColumn id="6" xr3:uid="{7F314FA2-8F52-964D-97C9-4BB3EA1751D4}" name="PAUSED" dataDxfId="5"/>
    <tableColumn id="20" xr3:uid="{B126B41D-A1C1-464C-B462-0E47A8A9A161}" name="RATING" dataDxfId="3"/>
    <tableColumn id="21" xr3:uid="{62EB8837-2D9F-0344-8BEF-31D1555BA0CE}" name="POMO" dataDxfId="4"/>
    <tableColumn id="28" xr3:uid="{18691FA4-7766-3F41-A569-16FE2B02BAA8}" name="TAG" totalsRowFunction="count" dataDxfId="32"/>
    <tableColumn id="5" xr3:uid="{CABE8A1A-8A2A-A847-A319-06C074855922}" name="COUNT" dataDxfId="31"/>
    <tableColumn id="29" xr3:uid="{9E4D9D68-736D-8A4E-8871-065084459476}" name="FormatDate" dataDxfId="30">
      <calculatedColumnFormula>StudyLog[[#This Row],[DAY]]</calculatedColumnFormula>
    </tableColumn>
  </tableColumns>
  <tableStyleInfo name="TableStyleDark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0A351C-358D-3E48-9B3F-3046EB9969F1}" name="Sessions" displayName="Sessions" ref="B1:D2" totalsRowShown="0" headerRowDxfId="29" dataDxfId="28">
  <autoFilter ref="B1:D2" xr:uid="{080A351C-358D-3E48-9B3F-3046EB9969F1}"/>
  <sortState xmlns:xlrd2="http://schemas.microsoft.com/office/spreadsheetml/2017/richdata2" ref="B2:D2">
    <sortCondition ref="B1:B2"/>
  </sortState>
  <tableColumns count="3">
    <tableColumn id="1" xr3:uid="{659CC45B-029D-F44D-A6B8-9BA4117FA6DE}" name="Session" dataDxfId="27">
      <calculatedColumnFormula>ROW()-1</calculatedColumnFormula>
    </tableColumn>
    <tableColumn id="2" xr3:uid="{E6936238-D258-9548-99A0-8ADA9AA016F1}" name="Start Date" dataDxfId="26"/>
    <tableColumn id="4" xr3:uid="{A1884A8D-0B3A-084D-8185-C00064882E50}" name="End Date"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6CF374-3070-3A4C-803B-291E3F8019CF}" name="SessionEnds" displayName="SessionEnds" ref="E1:E14" totalsRowShown="0">
  <autoFilter ref="E1:E14" xr:uid="{396CF374-3070-3A4C-803B-291E3F8019CF}"/>
  <tableColumns count="1">
    <tableColumn id="1" xr3:uid="{E9D5121C-D02E-5A47-B96F-36EFBB985F01}" name="SessionEnds" dataDxfId="24"/>
  </tableColumns>
  <tableStyleInfo name="TableStyleMedium3" showFirstColumn="0" showLastColumn="0" showRowStripes="1" showColumnStripes="0"/>
</table>
</file>

<file path=xl/theme/theme1.xml><?xml version="1.0" encoding="utf-8"?>
<a:theme xmlns:a="http://schemas.openxmlformats.org/drawingml/2006/main" name="Droplet">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6255-8035-A74E-A3FC-03DB98B3950D}">
  <sheetPr codeName="Sheet1">
    <pageSetUpPr fitToPage="1"/>
  </sheetPr>
  <dimension ref="A1:TAL32"/>
  <sheetViews>
    <sheetView showGridLines="0" showRuler="0" zoomScale="56" zoomScaleNormal="85" zoomScalePageLayoutView="64" workbookViewId="0">
      <selection activeCell="C17" sqref="C17"/>
    </sheetView>
  </sheetViews>
  <sheetFormatPr baseColWidth="10" defaultRowHeight="16" x14ac:dyDescent="0.2"/>
  <cols>
    <col min="1" max="1" width="10.28515625" bestFit="1" customWidth="1"/>
    <col min="2" max="2" width="10.42578125" bestFit="1" customWidth="1"/>
    <col min="3" max="3" width="193" bestFit="1" customWidth="1"/>
    <col min="4" max="4" width="15.42578125" bestFit="1" customWidth="1"/>
    <col min="5" max="5" width="13.42578125" bestFit="1" customWidth="1"/>
    <col min="6" max="6" width="13.85546875" bestFit="1" customWidth="1"/>
    <col min="7" max="7" width="12.140625" bestFit="1" customWidth="1"/>
    <col min="8" max="8" width="9.140625" style="2" bestFit="1" customWidth="1"/>
    <col min="9" max="9" width="9.140625" bestFit="1" customWidth="1"/>
    <col min="10" max="10" width="5.42578125" hidden="1" customWidth="1"/>
    <col min="11" max="11" width="8.42578125" hidden="1" customWidth="1"/>
    <col min="12" max="12" width="24.28515625" hidden="1" customWidth="1"/>
    <col min="13" max="13" width="43.140625" customWidth="1"/>
    <col min="14" max="14" width="11" customWidth="1"/>
    <col min="15" max="15" width="34.85546875" bestFit="1" customWidth="1"/>
    <col min="16" max="16" width="21.42578125" customWidth="1"/>
    <col min="17" max="17" width="21.28515625" customWidth="1"/>
    <col min="19" max="19" width="20.85546875" customWidth="1"/>
    <col min="20" max="20" width="13" customWidth="1"/>
    <col min="21" max="21" width="13.5703125" bestFit="1" customWidth="1"/>
  </cols>
  <sheetData>
    <row r="1" spans="1:20 13558:13558" ht="51" customHeight="1" x14ac:dyDescent="0.2">
      <c r="A1" s="82"/>
      <c r="B1" s="82"/>
      <c r="C1" s="58" t="s">
        <v>23</v>
      </c>
      <c r="D1" s="46" t="s">
        <v>20</v>
      </c>
      <c r="E1" s="29" t="str" cm="1">
        <f t="array" ref="E1">"CURRENT:
SESSION "&amp;INDEX(Sessions[],ROWS(Sessions[]),1)</f>
        <v>CURRENT:
SESSION 1</v>
      </c>
      <c r="F1" s="30" t="str">
        <f>"COMPARE:
SESSION "&amp;F3</f>
        <v>COMPARE:
SESSION 13</v>
      </c>
      <c r="G1" s="31" t="s">
        <v>16</v>
      </c>
      <c r="H1" s="80" t="s">
        <v>15</v>
      </c>
      <c r="I1" s="14">
        <v>20</v>
      </c>
      <c r="O1" s="23"/>
      <c r="T1" s="8"/>
    </row>
    <row r="2" spans="1:20 13558:13558" ht="32" customHeight="1" x14ac:dyDescent="0.2">
      <c r="A2" s="82"/>
      <c r="B2" s="82"/>
      <c r="C2" s="52" t="str">
        <f>"CLASS 1: "&amp;TEXT(SUMIFS([1]!StudyLog[LENGTH],[1]!StudyLog[TAG],1,[1]!StudyLog[SESSION],ROWS([1]!Sessions[#Data])),"h:mm")</f>
        <v>CLASS 1: 0:00</v>
      </c>
      <c r="D2" s="51">
        <f ca="1">TODAY()</f>
        <v>45430</v>
      </c>
      <c r="E2" s="43" t="str" cm="1">
        <f t="array" ref="E2">TEXT(INDEX(Sessions[],ROWS(Sessions[]),2),"m/dd")&amp; " - "&amp;IF(ISNUMBER(E3),TEXT(E3,"m/dd"),"No End")</f>
        <v>5/18 - No End</v>
      </c>
      <c r="F2" s="32" t="e" cm="1">
        <f t="array" ref="F2">TEXT(INDEX(Sessions[],F3,2),"m/dd")&amp; " - "&amp;TEXT(INDEX(Sessions[],F3,3),"m/dd")</f>
        <v>#REF!</v>
      </c>
      <c r="G2" s="33" t="str" cm="1">
        <f t="array" ref="G2">"Since "&amp;TEXT(INDEX(StudyLog[DAY],ROWS(StudyLog[])),"m/dd")</f>
        <v>Since 5/18</v>
      </c>
      <c r="H2" s="81"/>
      <c r="I2" s="14">
        <v>25</v>
      </c>
      <c r="T2" s="8"/>
    </row>
    <row r="3" spans="1:20 13558:13558" ht="31" customHeight="1" x14ac:dyDescent="0.2">
      <c r="A3" s="82"/>
      <c r="B3" s="82"/>
      <c r="C3" s="53" t="str">
        <f>"CLASS 2: "&amp;TEXT(SUMIFS([1]!StudyLog[LENGTH],[1]!StudyLog[TAG],2,[1]!StudyLog[SESSION],ROWS([1]!Sessions[#Data])),"h:mm")</f>
        <v>CLASS 2: 0:00</v>
      </c>
      <c r="D3" s="60" t="str">
        <f>IF(ISNUMBER(E3),E3-D2, "SELECT END:")</f>
        <v>SELECT END:</v>
      </c>
      <c r="E3" s="59"/>
      <c r="F3" s="34">
        <v>13</v>
      </c>
      <c r="G3" s="35" t="str" cm="1">
        <f t="array" aca="1" ref="G3" ca="1">(TODAY()-INDEX(StudyLog[DAY],ROWS(StudyLog[]))+1)&amp;" days"</f>
        <v>1 days</v>
      </c>
      <c r="H3" s="15">
        <v>1</v>
      </c>
      <c r="I3" s="14">
        <v>30</v>
      </c>
      <c r="T3" s="9"/>
    </row>
    <row r="4" spans="1:20 13558:13558" ht="32" customHeight="1" x14ac:dyDescent="0.2">
      <c r="A4" s="82"/>
      <c r="B4" s="82"/>
      <c r="C4" s="54" t="str">
        <f>"CLASS 3: "&amp;TEXT(SUMIFS([1]!StudyLog[LENGTH],[1]!StudyLog[TAG],3,[1]!StudyLog[SESSION],ROWS([1]!Sessions[#Data])),"h:mm")</f>
        <v>CLASS 3: 0:00</v>
      </c>
      <c r="D4" s="28">
        <f ca="1">IFERROR(D7/(SUMIF(StudyLog[DAY], TODAY(), StudyLog[END])-SUMIF(StudyLog[DAY], TODAY(), StudyLog[START])),"No time tod.")</f>
        <v>1</v>
      </c>
      <c r="E4" s="44" cm="1">
        <f t="array" ref="E4">IFERROR(E7/(SUMIF(StudyLog[SESSION], INDEX(Sessions[],ROWS(Sessions[]),1), StudyLog[END])-SUMIF(StudyLog[SESSION],INDEX(Sessions[],ROWS(Sessions[]),1), StudyLog[START])),"No time cur. s.")</f>
        <v>1</v>
      </c>
      <c r="F4" s="36" t="str">
        <f>IFERROR(F7/(SUMIF(StudyLog[SESSION],F3,StudyLog[END])-SUMIF(StudyLog[SESSION],F3,StudyLog[START])),"No time S. "&amp;F3)</f>
        <v>No time S. 13</v>
      </c>
      <c r="G4" s="36">
        <f>IFERROR(G7/(SUM(StudyLog[END])-SUM(StudyLog[START])),"No time")</f>
        <v>1</v>
      </c>
      <c r="H4" s="16">
        <v>2</v>
      </c>
      <c r="I4" s="14">
        <v>35</v>
      </c>
      <c r="Q4" s="10"/>
    </row>
    <row r="5" spans="1:20 13558:13558" ht="32" customHeight="1" x14ac:dyDescent="0.2">
      <c r="A5" s="82"/>
      <c r="B5" s="82"/>
      <c r="C5" s="55" t="str">
        <f>"CLASS 4: "&amp;TEXT(SUMIFS([1]!StudyLog[LENGTH],[1]!StudyLog[TAG],4,[1]!StudyLog[SESSION],ROWS([1]!Sessions[#Data])),"h:mm")</f>
        <v>CLASS 4: 0:00</v>
      </c>
      <c r="D5" s="42">
        <f ca="1">COUNTIF(StudyLog[DAY], TODAY())</f>
        <v>1</v>
      </c>
      <c r="E5" s="45" cm="1">
        <f t="array" ref="E5">COUNTIF(StudyLog[SESSION],INDEX(Sessions[],ROWS(Sessions[]),1))</f>
        <v>1</v>
      </c>
      <c r="F5" s="37">
        <f>COUNTIF(StudyLog[SESSION],F3)</f>
        <v>0</v>
      </c>
      <c r="G5" s="37">
        <f>ROWS(StudyLog[])</f>
        <v>1</v>
      </c>
      <c r="H5" s="17">
        <v>3</v>
      </c>
      <c r="I5" s="14">
        <v>45</v>
      </c>
      <c r="O5" s="27"/>
      <c r="T5" s="11"/>
    </row>
    <row r="6" spans="1:20 13558:13558" ht="31" customHeight="1" x14ac:dyDescent="0.2">
      <c r="A6" s="82"/>
      <c r="B6" s="82"/>
      <c r="C6" s="56" t="str">
        <f>"CLASS 5: "&amp;TEXT(SUMIFS([1]!StudyLog[LENGTH],[1]!StudyLog[TAG],5,[1]!StudyLog[SESSION],ROWS([1]!Sessions[#Data])),"h:mm")</f>
        <v>CLASS 5: 0:00</v>
      </c>
      <c r="D6" s="47">
        <f ca="1">IFERROR(AVERAGEIF(StudyLog[DAY],TODAY(),StudyLog[RATING]),"No ratings tod.")</f>
        <v>5</v>
      </c>
      <c r="E6" s="48" cm="1">
        <f t="array" ref="E6">IFERROR(AVERAGEIF(StudyLog[SESSION],INDEX(Sessions[],ROWS(Sessions[]),1),StudyLog[RATING]),"No ratings cur S.")</f>
        <v>5</v>
      </c>
      <c r="F6" s="49" t="str">
        <f>IFERROR(AVERAGEIF(StudyLog[SESSION],F3,StudyLog[RATING]),"No ratings S. "&amp;F3)</f>
        <v>No ratings S. 13</v>
      </c>
      <c r="G6" s="50">
        <f>IFERROR(AVERAGE(StudyLog[RATING]),"No ratings")</f>
        <v>5</v>
      </c>
      <c r="H6" s="18">
        <v>4</v>
      </c>
      <c r="I6" s="14">
        <v>50</v>
      </c>
      <c r="T6" s="12"/>
    </row>
    <row r="7" spans="1:20 13558:13558" ht="36" customHeight="1" x14ac:dyDescent="0.2">
      <c r="A7" s="82"/>
      <c r="B7" s="82"/>
      <c r="C7" s="57" t="str">
        <f>"PLANNING: "&amp;TEXT(SUMIFS([1]!StudyLog[LENGTH],[1]!StudyLog[TAG],6,[1]!StudyLog[SESSION],ROWS([1]!Sessions[#Data])),"h:mm")</f>
        <v>PLANNING: 0:00</v>
      </c>
      <c r="D7" s="40">
        <f ca="1">SUMIFS(StudyLog[LENGTH],StudyLog[DAY],TODAY())</f>
        <v>2.4305555562023073E-2</v>
      </c>
      <c r="E7" s="41" cm="1">
        <f t="array" ref="E7">SUMIFS(StudyLog[LENGTH],StudyLog[SESSION],INDEX(Sessions[],ROWS(Sessions[]),1))</f>
        <v>2.4305555562023073E-2</v>
      </c>
      <c r="F7" s="38">
        <f>SUMIFS(StudyLog[LENGTH],StudyLog[SESSION],F3)</f>
        <v>0</v>
      </c>
      <c r="G7" s="39">
        <f>SUM(StudyLog[LENGTH])</f>
        <v>2.4305555562023073E-2</v>
      </c>
      <c r="H7" s="25">
        <v>5</v>
      </c>
      <c r="I7" s="26">
        <v>35</v>
      </c>
    </row>
    <row r="8" spans="1:20 13558:13558" ht="28" customHeight="1" x14ac:dyDescent="0.25">
      <c r="A8" s="61" t="s">
        <v>14</v>
      </c>
      <c r="B8" s="62" t="s">
        <v>5</v>
      </c>
      <c r="C8" s="63" t="s">
        <v>6</v>
      </c>
      <c r="D8" s="64" t="s">
        <v>10</v>
      </c>
      <c r="E8" s="64" t="s">
        <v>11</v>
      </c>
      <c r="F8" s="64" t="s">
        <v>9</v>
      </c>
      <c r="G8" s="63" t="s">
        <v>7</v>
      </c>
      <c r="H8" s="65" t="s">
        <v>13</v>
      </c>
      <c r="I8" s="63" t="s">
        <v>8</v>
      </c>
      <c r="J8" s="66" t="s">
        <v>4</v>
      </c>
      <c r="K8" s="66" t="s">
        <v>12</v>
      </c>
      <c r="L8" s="67" t="s">
        <v>22</v>
      </c>
      <c r="M8" s="24" t="s">
        <v>0</v>
      </c>
    </row>
    <row r="9" spans="1:20 13558:13558" s="23" customFormat="1" ht="409.6" x14ac:dyDescent="0.2">
      <c r="A9" s="68">
        <v>1</v>
      </c>
      <c r="B9" s="78">
        <v>45430</v>
      </c>
      <c r="C9" s="89" t="s">
        <v>30</v>
      </c>
      <c r="D9" s="79">
        <v>45430.502164351848</v>
      </c>
      <c r="E9" s="69">
        <v>45430.526469907411</v>
      </c>
      <c r="F9" s="70">
        <f>StudyLog[[#This Row],[END]]-StudyLog[[#This Row],[START]]-(StudyLog[[#This Row],[PAUSED]]/(24*60))</f>
        <v>2.4305555562023073E-2</v>
      </c>
      <c r="G9" s="71">
        <v>0</v>
      </c>
      <c r="H9" s="84">
        <v>5</v>
      </c>
      <c r="I9" s="71">
        <v>35</v>
      </c>
      <c r="J9" s="72">
        <v>1</v>
      </c>
      <c r="K9" s="73">
        <v>1</v>
      </c>
      <c r="L9" s="85">
        <f>StudyLog[[#This Row],[DAY]]</f>
        <v>45430</v>
      </c>
      <c r="M9" s="86" t="s">
        <v>31</v>
      </c>
      <c r="TAL9" s="23">
        <v>2</v>
      </c>
    </row>
    <row r="10" spans="1:20 13558:13558" ht="28" x14ac:dyDescent="0.3">
      <c r="A10" s="6"/>
      <c r="B10" s="7"/>
      <c r="C10" s="7"/>
      <c r="D10" s="7"/>
      <c r="E10" s="7"/>
      <c r="F10" s="7"/>
      <c r="I10" s="2"/>
      <c r="J10" s="2"/>
      <c r="M10" s="87"/>
    </row>
    <row r="11" spans="1:20 13558:13558" ht="28" x14ac:dyDescent="0.3">
      <c r="A11" s="1"/>
      <c r="I11" s="2"/>
      <c r="J11" s="2"/>
      <c r="M11" s="87"/>
    </row>
    <row r="12" spans="1:20 13558:13558" ht="28" x14ac:dyDescent="0.3">
      <c r="A12" s="1"/>
      <c r="I12" s="2"/>
      <c r="J12" s="2"/>
      <c r="M12" s="87"/>
      <c r="N12" s="13"/>
      <c r="O12" s="13"/>
    </row>
    <row r="13" spans="1:20 13558:13558" ht="28" x14ac:dyDescent="0.3">
      <c r="A13" s="1"/>
      <c r="I13" s="2"/>
      <c r="J13" s="2"/>
      <c r="M13" s="87"/>
      <c r="N13" s="13"/>
      <c r="O13" s="13"/>
    </row>
    <row r="14" spans="1:20 13558:13558" ht="28" x14ac:dyDescent="0.3">
      <c r="A14" s="1"/>
      <c r="I14" s="2"/>
      <c r="J14" s="2"/>
      <c r="M14" s="87"/>
      <c r="N14" s="13"/>
      <c r="O14" s="13"/>
    </row>
    <row r="15" spans="1:20 13558:13558" ht="47" customHeight="1" x14ac:dyDescent="0.25">
      <c r="A15" s="1"/>
      <c r="I15" s="2"/>
      <c r="J15" s="2"/>
      <c r="M15" s="88"/>
      <c r="N15" s="13"/>
      <c r="O15" s="13"/>
    </row>
    <row r="16" spans="1:20 13558:13558" ht="21" x14ac:dyDescent="0.25">
      <c r="A16" s="1"/>
      <c r="I16" s="2"/>
      <c r="J16" s="2"/>
      <c r="M16" s="88"/>
      <c r="N16" s="13"/>
      <c r="O16" s="13"/>
    </row>
    <row r="17" spans="1:15" ht="21" x14ac:dyDescent="0.25">
      <c r="A17" s="1"/>
      <c r="I17" s="2"/>
      <c r="J17" s="2"/>
      <c r="M17" s="88"/>
      <c r="N17" s="13"/>
      <c r="O17" s="13"/>
    </row>
    <row r="18" spans="1:15" ht="21" x14ac:dyDescent="0.25">
      <c r="A18" s="1"/>
      <c r="I18" s="2"/>
      <c r="J18" s="2"/>
      <c r="M18" s="88"/>
      <c r="N18" s="13"/>
      <c r="O18" s="13"/>
    </row>
    <row r="19" spans="1:15" ht="21" x14ac:dyDescent="0.25">
      <c r="A19" s="1"/>
      <c r="I19" s="2"/>
      <c r="J19" s="2"/>
      <c r="M19" s="88"/>
      <c r="N19" s="13"/>
      <c r="O19" s="13"/>
    </row>
    <row r="20" spans="1:15" ht="21" x14ac:dyDescent="0.25">
      <c r="A20" s="1"/>
      <c r="I20" s="2"/>
      <c r="J20" s="2"/>
      <c r="M20" s="88"/>
      <c r="N20" s="13"/>
      <c r="O20" s="13"/>
    </row>
    <row r="21" spans="1:15" ht="21" x14ac:dyDescent="0.25">
      <c r="A21" s="1"/>
      <c r="I21" s="2"/>
      <c r="J21" s="2"/>
      <c r="M21" s="88"/>
      <c r="N21" s="13"/>
      <c r="O21" s="13"/>
    </row>
    <row r="22" spans="1:15" ht="21" x14ac:dyDescent="0.25">
      <c r="A22" s="1"/>
      <c r="I22" s="2"/>
      <c r="J22" s="2"/>
      <c r="M22" s="88"/>
      <c r="N22" s="13"/>
      <c r="O22" s="13"/>
    </row>
    <row r="23" spans="1:15" ht="21" x14ac:dyDescent="0.25">
      <c r="A23" s="1"/>
      <c r="I23" s="2"/>
      <c r="J23" s="2"/>
      <c r="M23" s="88"/>
      <c r="N23" s="13"/>
      <c r="O23" s="13"/>
    </row>
    <row r="24" spans="1:15" ht="21" x14ac:dyDescent="0.25">
      <c r="A24" s="1"/>
      <c r="I24" s="2"/>
      <c r="J24" s="2"/>
      <c r="M24" s="88"/>
      <c r="N24" s="13"/>
      <c r="O24" s="13"/>
    </row>
    <row r="25" spans="1:15" ht="21" x14ac:dyDescent="0.2">
      <c r="A25" s="1"/>
      <c r="I25" s="2"/>
      <c r="J25" s="2"/>
      <c r="N25" s="13"/>
      <c r="O25" s="13"/>
    </row>
    <row r="26" spans="1:15" ht="21" x14ac:dyDescent="0.2">
      <c r="A26" s="1"/>
      <c r="I26" s="2"/>
      <c r="J26" s="2"/>
      <c r="N26" s="13"/>
      <c r="O26" s="13"/>
    </row>
    <row r="27" spans="1:15" ht="21" x14ac:dyDescent="0.2">
      <c r="A27" s="1"/>
      <c r="I27" s="2"/>
      <c r="J27" s="2"/>
      <c r="N27" s="13"/>
      <c r="O27" s="13"/>
    </row>
    <row r="28" spans="1:15" x14ac:dyDescent="0.2">
      <c r="A28" s="1"/>
      <c r="I28" s="2"/>
      <c r="J28" s="2"/>
    </row>
    <row r="29" spans="1:15" x14ac:dyDescent="0.2">
      <c r="A29" s="1"/>
      <c r="I29" s="2"/>
      <c r="J29" s="2"/>
    </row>
    <row r="30" spans="1:15" x14ac:dyDescent="0.2">
      <c r="A30" s="1"/>
    </row>
    <row r="31" spans="1:15" ht="26" customHeight="1" x14ac:dyDescent="0.2"/>
    <row r="32" spans="1:15" ht="30" customHeight="1" x14ac:dyDescent="0.2"/>
  </sheetData>
  <mergeCells count="2">
    <mergeCell ref="H1:H2"/>
    <mergeCell ref="A1:B7"/>
  </mergeCells>
  <phoneticPr fontId="1" type="noConversion"/>
  <conditionalFormatting sqref="I1:I6">
    <cfRule type="colorScale" priority="12">
      <colorScale>
        <cfvo type="min"/>
        <cfvo type="max"/>
        <color theme="8" tint="0.79998168889431442"/>
        <color theme="8" tint="-0.249977111117893"/>
      </colorScale>
    </cfRule>
  </conditionalFormatting>
  <conditionalFormatting sqref="A9:B9 D9:L9">
    <cfRule type="expression" dxfId="19" priority="55">
      <formula>AND(INT(#REF!)=TODAY(), COLUMN()&lt;&gt;3,COLUMN()&lt;&gt;8)</formula>
    </cfRule>
    <cfRule type="expression" dxfId="18" priority="56">
      <formula>AND(INT($L9)=TODAY(), COLUMN()&lt;&gt;3,COLUMN()&lt;&gt;8)</formula>
    </cfRule>
    <cfRule type="expression" dxfId="17" priority="57">
      <formula>INT($L9)=TODAY()</formula>
    </cfRule>
  </conditionalFormatting>
  <conditionalFormatting sqref="C9">
    <cfRule type="expression" dxfId="8" priority="1">
      <formula>AND(INT(#REF!)=TODAY(), COLUMN()&lt;&gt;3,COLUMN()&lt;&gt;8)</formula>
    </cfRule>
    <cfRule type="expression" dxfId="7" priority="2">
      <formula>AND(INT($L9)=TODAY(), COLUMN()&lt;&gt;3,COLUMN()&lt;&gt;8)</formula>
    </cfRule>
    <cfRule type="expression" dxfId="6" priority="3">
      <formula>INT($L9)=TODAY()</formula>
    </cfRule>
  </conditionalFormatting>
  <dataValidations count="1">
    <dataValidation type="list" showInputMessage="1" showErrorMessage="1" sqref="F3" xr:uid="{175AA985-63F3-BB42-B481-EBE5134E5423}">
      <formula1>PrevSessions</formula1>
    </dataValidation>
  </dataValidations>
  <pageMargins left="0.7" right="0.7" top="0.75" bottom="0.75" header="0.3" footer="0.3"/>
  <pageSetup scale="57" fitToHeight="0" orientation="landscape" horizontalDpi="0" verticalDpi="0"/>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8" id="{E710484E-DC8C-694A-B79C-C067784309A1}">
            <xm:f>AND(ISEVEN(ROW()),INT($A9)=INT(SessionSheet!$A$1),COLUMN()&lt;&gt;3,COLUMN()&lt;&gt;8)</xm:f>
            <x14:dxf>
              <fill>
                <patternFill patternType="solid">
                  <fgColor theme="4" tint="0.59996337778862885"/>
                  <bgColor theme="5" tint="0.39994506668294322"/>
                </patternFill>
              </fill>
            </x14:dxf>
          </x14:cfRule>
          <x14:cfRule type="expression" priority="49" id="{54A681DA-CF72-6F4F-95AD-C81CAE0887CC}">
            <xm:f>AND(ISODD(ROW()),INT($A9)=INT(SessionSheet!$A$1),COLUMN()&lt;&gt;3,COLUMN()&lt;&gt;8)</xm:f>
            <x14:dxf>
              <fill>
                <patternFill patternType="solid">
                  <fgColor theme="4" tint="0.59996337778862885"/>
                  <bgColor theme="5" tint="0.59996337778862885"/>
                </patternFill>
              </fill>
            </x14:dxf>
          </x14:cfRule>
          <xm:sqref>A9:B9 D9:L9</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showErrorMessage="1" xr:uid="{B8F88081-F680-324A-A5F5-D0B9985C7097}">
          <x14:formula1>
            <xm:f>SessionSheet!$E$2:$E$14</xm:f>
          </x14:formula1>
          <xm:sqref>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C120-5561-DF4D-811B-2FC70DD13575}">
  <sheetPr codeName="Sheet3"/>
  <dimension ref="A1:I14"/>
  <sheetViews>
    <sheetView tabSelected="1" workbookViewId="0">
      <selection activeCell="C3" sqref="C3"/>
    </sheetView>
  </sheetViews>
  <sheetFormatPr baseColWidth="10" defaultRowHeight="16" x14ac:dyDescent="0.2"/>
  <cols>
    <col min="1" max="1" width="16.28515625" bestFit="1" customWidth="1"/>
    <col min="2" max="2" width="26.28515625" customWidth="1"/>
    <col min="3" max="3" width="36.28515625" customWidth="1"/>
    <col min="4" max="4" width="38.140625" customWidth="1"/>
    <col min="5" max="5" width="24.28515625" bestFit="1" customWidth="1"/>
  </cols>
  <sheetData>
    <row r="1" spans="1:9" ht="22" x14ac:dyDescent="0.2">
      <c r="A1" s="27">
        <f>ROWS(Sessions[])</f>
        <v>1</v>
      </c>
      <c r="B1" s="19" t="s">
        <v>17</v>
      </c>
      <c r="C1" s="19" t="s">
        <v>18</v>
      </c>
      <c r="D1" s="19" t="s">
        <v>19</v>
      </c>
      <c r="E1" t="s">
        <v>21</v>
      </c>
      <c r="G1" s="19"/>
      <c r="H1" s="19"/>
      <c r="I1" s="19"/>
    </row>
    <row r="2" spans="1:9" ht="21" x14ac:dyDescent="0.2">
      <c r="B2" s="20">
        <f t="shared" ref="B2" si="0">ROW()-1</f>
        <v>1</v>
      </c>
      <c r="C2" s="76">
        <v>45430</v>
      </c>
      <c r="D2" s="76"/>
      <c r="E2" s="22"/>
      <c r="G2" s="20"/>
      <c r="H2" s="21"/>
      <c r="I2" s="21"/>
    </row>
    <row r="3" spans="1:9" ht="21" x14ac:dyDescent="0.2">
      <c r="E3" s="22" cm="1">
        <f t="array" ref="E3">INDEX(Sessions[Start Date],ROWS(Sessions[]))</f>
        <v>45430</v>
      </c>
      <c r="G3" s="20"/>
      <c r="H3" s="21"/>
      <c r="I3" s="21"/>
    </row>
    <row r="4" spans="1:9" x14ac:dyDescent="0.2">
      <c r="E4" s="22">
        <f>E3+1</f>
        <v>45431</v>
      </c>
    </row>
    <row r="5" spans="1:9" x14ac:dyDescent="0.2">
      <c r="E5" s="22">
        <f>E4+1</f>
        <v>45432</v>
      </c>
    </row>
    <row r="6" spans="1:9" x14ac:dyDescent="0.2">
      <c r="E6" s="22">
        <f t="shared" ref="E6:E14" si="1">E5+1</f>
        <v>45433</v>
      </c>
    </row>
    <row r="7" spans="1:9" x14ac:dyDescent="0.2">
      <c r="E7" s="22">
        <f t="shared" si="1"/>
        <v>45434</v>
      </c>
    </row>
    <row r="8" spans="1:9" x14ac:dyDescent="0.2">
      <c r="E8" s="22">
        <f t="shared" si="1"/>
        <v>45435</v>
      </c>
    </row>
    <row r="9" spans="1:9" x14ac:dyDescent="0.2">
      <c r="E9" s="22">
        <f t="shared" si="1"/>
        <v>45436</v>
      </c>
    </row>
    <row r="10" spans="1:9" x14ac:dyDescent="0.2">
      <c r="E10" s="22">
        <f t="shared" si="1"/>
        <v>45437</v>
      </c>
    </row>
    <row r="11" spans="1:9" x14ac:dyDescent="0.2">
      <c r="E11" s="22">
        <f t="shared" si="1"/>
        <v>45438</v>
      </c>
    </row>
    <row r="12" spans="1:9" x14ac:dyDescent="0.2">
      <c r="E12" s="22">
        <f t="shared" si="1"/>
        <v>45439</v>
      </c>
    </row>
    <row r="13" spans="1:9" x14ac:dyDescent="0.2">
      <c r="E13" s="22">
        <f t="shared" si="1"/>
        <v>45440</v>
      </c>
    </row>
    <row r="14" spans="1:9" x14ac:dyDescent="0.2">
      <c r="E14" s="22">
        <f t="shared" si="1"/>
        <v>45441</v>
      </c>
    </row>
  </sheetData>
  <conditionalFormatting sqref="D2 B2">
    <cfRule type="expression" dxfId="14" priority="24" stopIfTrue="1">
      <formula>AND(INT($J9)=TODAY(), COLUMN()&lt;&gt;3,COLUMN()&lt;&gt;8)</formula>
    </cfRule>
    <cfRule type="expression" dxfId="13" priority="25">
      <formula>AND(INT($J9)=TODAY(), COLUMN()=2)</formula>
    </cfRule>
  </conditionalFormatting>
  <conditionalFormatting sqref="I2 G2:G3">
    <cfRule type="expression" dxfId="12" priority="3" stopIfTrue="1">
      <formula>AND(INT($J9)=TODAY(), COLUMN()&lt;&gt;3,COLUMN()&lt;&gt;8)</formula>
    </cfRule>
    <cfRule type="expression" dxfId="11" priority="4">
      <formula>AND(INT($J9)=TODAY(), COLUMN()=2)</formula>
    </cfRule>
  </conditionalFormatting>
  <conditionalFormatting sqref="H3:I3">
    <cfRule type="expression" dxfId="10" priority="1" stopIfTrue="1">
      <formula>AND(INT($J8)=TODAY(), COLUMN()&lt;&gt;3,COLUMN()&lt;&gt;8)</formula>
    </cfRule>
    <cfRule type="expression" dxfId="9" priority="2">
      <formula>AND(INT($J8)=TODAY(), COLUMN()=2)</formula>
    </cfRule>
  </conditionalFormatting>
  <dataValidations count="1">
    <dataValidation type="textLength" allowBlank="1" showInputMessage="1" showErrorMessage="1" sqref="E2" xr:uid="{95A63A07-DC4C-7C44-8912-2AD6AC8496AA}">
      <formula1>0</formula1>
      <formula2>0</formula2>
    </dataValidation>
  </dataValidations>
  <pageMargins left="0.7" right="0.7" top="0.75" bottom="0.75" header="0.3" footer="0.3"/>
  <pageSetup orientation="portrait" horizontalDpi="0" verticalDpi="0"/>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DE67E-6E22-034E-BBCA-378506E75C42}">
  <sheetPr codeName="Sheet2">
    <pageSetUpPr fitToPage="1"/>
  </sheetPr>
  <dimension ref="AO1:BD9"/>
  <sheetViews>
    <sheetView topLeftCell="A2" zoomScale="33" zoomScaleNormal="40" workbookViewId="0">
      <selection activeCell="AO47" sqref="AO47"/>
    </sheetView>
  </sheetViews>
  <sheetFormatPr baseColWidth="10" defaultRowHeight="16" x14ac:dyDescent="0.2"/>
  <cols>
    <col min="1" max="1" width="14.140625" bestFit="1" customWidth="1"/>
    <col min="2" max="2" width="13" bestFit="1" customWidth="1"/>
    <col min="3" max="3" width="12.42578125" bestFit="1" customWidth="1"/>
    <col min="4" max="4" width="10.140625" bestFit="1" customWidth="1"/>
    <col min="5" max="5" width="7" bestFit="1" customWidth="1"/>
    <col min="6" max="6" width="6.7109375" bestFit="1" customWidth="1"/>
    <col min="7" max="7" width="10.42578125" bestFit="1" customWidth="1"/>
    <col min="8" max="8" width="9.28515625" bestFit="1" customWidth="1"/>
    <col min="9" max="19" width="5.85546875" bestFit="1" customWidth="1"/>
    <col min="20" max="20" width="6" bestFit="1" customWidth="1"/>
    <col min="21" max="23" width="7" bestFit="1" customWidth="1"/>
    <col min="24" max="24" width="12.28515625" bestFit="1" customWidth="1"/>
    <col min="25" max="25" width="14.5703125" bestFit="1" customWidth="1"/>
    <col min="26" max="31" width="12" bestFit="1" customWidth="1"/>
    <col min="32" max="32" width="12.28515625" bestFit="1" customWidth="1"/>
    <col min="33" max="33" width="16.140625" bestFit="1" customWidth="1"/>
    <col min="34" max="34" width="12.28515625" bestFit="1" customWidth="1"/>
    <col min="35" max="35" width="12.42578125" bestFit="1" customWidth="1"/>
    <col min="36" max="36" width="12.140625" bestFit="1" customWidth="1"/>
    <col min="37" max="37" width="16" bestFit="1" customWidth="1"/>
    <col min="38" max="38" width="16.28515625" bestFit="1" customWidth="1"/>
    <col min="39" max="39" width="16.7109375" bestFit="1" customWidth="1"/>
    <col min="40" max="40" width="13.28515625" bestFit="1" customWidth="1"/>
    <col min="41" max="41" width="15.140625" bestFit="1" customWidth="1"/>
    <col min="42" max="42" width="17.5703125" bestFit="1" customWidth="1"/>
    <col min="43" max="43" width="13" bestFit="1" customWidth="1"/>
    <col min="44" max="48" width="12" bestFit="1" customWidth="1"/>
    <col min="49" max="49" width="15.140625" bestFit="1" customWidth="1"/>
    <col min="50" max="50" width="15.42578125" bestFit="1" customWidth="1"/>
    <col min="51" max="51" width="15.140625" bestFit="1" customWidth="1"/>
    <col min="52" max="52" width="12.28515625" bestFit="1" customWidth="1"/>
    <col min="53" max="53" width="15.140625" bestFit="1" customWidth="1"/>
    <col min="54" max="54" width="15.42578125" bestFit="1" customWidth="1"/>
    <col min="55" max="55" width="15.140625" bestFit="1" customWidth="1"/>
    <col min="56" max="56" width="15.42578125" bestFit="1" customWidth="1"/>
    <col min="57" max="84" width="5.85546875" bestFit="1" customWidth="1"/>
    <col min="85" max="85" width="9.140625" bestFit="1" customWidth="1"/>
  </cols>
  <sheetData>
    <row r="1" spans="41:56" x14ac:dyDescent="0.2">
      <c r="AO1" s="3" t="s">
        <v>25</v>
      </c>
      <c r="AP1" s="3" t="s">
        <v>24</v>
      </c>
      <c r="AW1" s="3" t="s">
        <v>1</v>
      </c>
      <c r="AX1" t="s">
        <v>27</v>
      </c>
      <c r="AY1" s="3" t="s">
        <v>1</v>
      </c>
      <c r="AZ1" t="s">
        <v>25</v>
      </c>
      <c r="BA1" s="3" t="s">
        <v>1</v>
      </c>
      <c r="BB1" t="s">
        <v>27</v>
      </c>
      <c r="BC1" s="3" t="s">
        <v>1</v>
      </c>
      <c r="BD1" t="s">
        <v>27</v>
      </c>
    </row>
    <row r="2" spans="41:56" x14ac:dyDescent="0.2">
      <c r="AO2" s="3" t="s">
        <v>1</v>
      </c>
      <c r="AP2" t="s">
        <v>26</v>
      </c>
      <c r="AQ2" t="s">
        <v>2</v>
      </c>
      <c r="AW2" s="74">
        <v>2</v>
      </c>
      <c r="AX2" s="83"/>
      <c r="AY2" s="2" t="s">
        <v>26</v>
      </c>
      <c r="AZ2" s="75">
        <v>2.4305555555555556E-2</v>
      </c>
      <c r="BA2" s="2" t="s">
        <v>28</v>
      </c>
      <c r="BB2" s="83"/>
      <c r="BC2" s="74">
        <v>2</v>
      </c>
      <c r="BD2" s="83"/>
    </row>
    <row r="3" spans="41:56" x14ac:dyDescent="0.2">
      <c r="AO3" s="74">
        <v>2</v>
      </c>
      <c r="AP3" s="75">
        <v>2.4305555555555556E-2</v>
      </c>
      <c r="AQ3" s="75">
        <v>2.4305555555555556E-2</v>
      </c>
      <c r="AW3" s="74" t="s">
        <v>2</v>
      </c>
      <c r="AX3" s="83"/>
      <c r="AY3" s="2" t="s">
        <v>2</v>
      </c>
      <c r="AZ3" s="75">
        <v>2.4305555555555556E-2</v>
      </c>
      <c r="BA3" s="2" t="s">
        <v>2</v>
      </c>
      <c r="BB3" s="83"/>
      <c r="BC3" s="74" t="s">
        <v>2</v>
      </c>
      <c r="BD3" s="83"/>
    </row>
    <row r="4" spans="41:56" x14ac:dyDescent="0.2">
      <c r="AO4" s="77" t="s">
        <v>29</v>
      </c>
      <c r="AP4" s="83">
        <v>2.4305555555555556E-2</v>
      </c>
      <c r="AQ4" s="83">
        <v>2.4305555555555556E-2</v>
      </c>
    </row>
    <row r="5" spans="41:56" x14ac:dyDescent="0.2">
      <c r="AO5" s="74" t="s">
        <v>2</v>
      </c>
      <c r="AP5" s="75">
        <v>2.4305555555555556E-2</v>
      </c>
      <c r="AQ5" s="75">
        <v>2.4305555555555556E-2</v>
      </c>
    </row>
    <row r="9" spans="41:56" x14ac:dyDescent="0.2">
      <c r="AY9" s="5" t="s">
        <v>3</v>
      </c>
      <c r="AZ9" s="4">
        <f>((Study!G7*24)/((Study!G7*24)+(SUM(StudyLog[RATING])/60)))</f>
        <v>0.87500000002910383</v>
      </c>
    </row>
  </sheetData>
  <pageMargins left="0.7" right="0.7" top="0.75" bottom="0.75" header="0.3" footer="0.3"/>
  <pageSetup scale="25" orientation="landscape" horizontalDpi="0" verticalDpi="0"/>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Study</vt:lpstr>
      <vt:lpstr>SessionSheet</vt:lpstr>
      <vt:lpstr>Data</vt:lpstr>
      <vt:lpstr>Pomos</vt:lpstr>
      <vt:lpstr>Study!Print_Area</vt:lpstr>
      <vt:lpstr>Ratings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Sasha Loayza</cp:lastModifiedBy>
  <cp:lastPrinted>2024-04-30T11:55:00Z</cp:lastPrinted>
  <dcterms:created xsi:type="dcterms:W3CDTF">2024-02-19T00:05:57Z</dcterms:created>
  <dcterms:modified xsi:type="dcterms:W3CDTF">2024-05-18T10:06:25Z</dcterms:modified>
</cp:coreProperties>
</file>