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8" codeName="{C80E003A-6C80-AF87-3323-10F97C11A349}"/>
  <workbookPr codeName="ThisWorkbook"/>
  <mc:AlternateContent xmlns:mc="http://schemas.openxmlformats.org/markup-compatibility/2006">
    <mc:Choice Requires="x15">
      <x15ac:absPath xmlns:x15ac="http://schemas.microsoft.com/office/spreadsheetml/2010/11/ac" url="/Users/sashaloayza/Cornell/SP24/ParisStudy/Spreadsheets/"/>
    </mc:Choice>
  </mc:AlternateContent>
  <xr:revisionPtr revIDLastSave="0" documentId="13_ncr:1_{222E7311-BB2F-4548-B086-BBBFA3E06586}" xr6:coauthVersionLast="47" xr6:coauthVersionMax="47" xr10:uidLastSave="{00000000-0000-0000-0000-000000000000}"/>
  <bookViews>
    <workbookView xWindow="0" yWindow="500" windowWidth="28800" windowHeight="17500" xr2:uid="{9D7B825D-C884-4142-9331-F71C0DF831ED}"/>
  </bookViews>
  <sheets>
    <sheet name="Study" sheetId="1" r:id="rId1"/>
    <sheet name="SessionSheet" sheetId="8" r:id="rId2"/>
    <sheet name="Data" sheetId="7" r:id="rId3"/>
  </sheets>
  <functionGroups builtInGroupCount="19"/>
  <definedNames>
    <definedName name="Pomos">Study!$I$1:$I$6</definedName>
    <definedName name="PrevSessions">OFFSET(Sessions[],0,0,ROWS(Sessions[])-1,1)</definedName>
    <definedName name="_xlnm.Print_Area" localSheetId="0">Study!$A$1:$H$191</definedName>
    <definedName name="Ratings">Study!$H$3:$H$7</definedName>
    <definedName name="Tags" comment="List of Tags for tasks">Study!$C$2:$C$7</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6" i="8" l="1"/>
  <c r="B15" i="8"/>
  <c r="L9" i="1"/>
  <c r="F9" i="1"/>
  <c r="L10" i="1"/>
  <c r="F10" i="1"/>
  <c r="L11" i="1"/>
  <c r="F11" i="1"/>
  <c r="L12" i="1"/>
  <c r="F12" i="1"/>
  <c r="L13" i="1"/>
  <c r="F13" i="1"/>
  <c r="L14" i="1"/>
  <c r="F14" i="1"/>
  <c r="L15" i="1"/>
  <c r="F15" i="1"/>
  <c r="L16" i="1"/>
  <c r="F16" i="1"/>
  <c r="L17" i="1"/>
  <c r="F17" i="1"/>
  <c r="L18" i="1"/>
  <c r="F18" i="1"/>
  <c r="L19" i="1"/>
  <c r="F19" i="1"/>
  <c r="L20" i="1"/>
  <c r="F20" i="1"/>
  <c r="L21" i="1"/>
  <c r="F21" i="1"/>
  <c r="L22" i="1"/>
  <c r="F22" i="1"/>
  <c r="B14" i="8"/>
  <c r="A1" i="8"/>
  <c r="L23" i="1"/>
  <c r="F23" i="1"/>
  <c r="L24" i="1"/>
  <c r="F24" i="1"/>
  <c r="L25" i="1"/>
  <c r="F25" i="1"/>
  <c r="L26" i="1"/>
  <c r="F26" i="1"/>
  <c r="L27" i="1"/>
  <c r="F27" i="1"/>
  <c r="B13" i="8"/>
  <c r="L28" i="1"/>
  <c r="F28" i="1"/>
  <c r="L29" i="1"/>
  <c r="F29" i="1"/>
  <c r="L30" i="1"/>
  <c r="F30" i="1"/>
  <c r="L31" i="1"/>
  <c r="F31" i="1"/>
  <c r="L32" i="1"/>
  <c r="F32" i="1"/>
  <c r="F33" i="1"/>
  <c r="L33" i="1"/>
  <c r="L34" i="1"/>
  <c r="F34" i="1"/>
  <c r="L35" i="1"/>
  <c r="F35" i="1"/>
  <c r="L36" i="1"/>
  <c r="F36" i="1"/>
  <c r="L37" i="1"/>
  <c r="F37" i="1"/>
  <c r="F38" i="1"/>
  <c r="L38" i="1"/>
  <c r="B12" i="8"/>
  <c r="L39" i="1"/>
  <c r="F39" i="1"/>
  <c r="L40" i="1"/>
  <c r="F40" i="1"/>
  <c r="L41" i="1"/>
  <c r="F41" i="1"/>
  <c r="L42" i="1"/>
  <c r="F42" i="1"/>
  <c r="L43" i="1"/>
  <c r="F43" i="1"/>
  <c r="L44" i="1"/>
  <c r="F44" i="1"/>
  <c r="L45" i="1"/>
  <c r="F45" i="1"/>
  <c r="L46" i="1"/>
  <c r="F46" i="1"/>
  <c r="B11" i="8"/>
  <c r="L47" i="1"/>
  <c r="F47" i="1"/>
  <c r="L48" i="1"/>
  <c r="F48" i="1"/>
  <c r="L49" i="1"/>
  <c r="F49" i="1"/>
  <c r="L50" i="1"/>
  <c r="F50" i="1"/>
  <c r="L51" i="1" l="1"/>
  <c r="F51" i="1"/>
  <c r="L52" i="1"/>
  <c r="F52" i="1"/>
  <c r="L53" i="1"/>
  <c r="F53" i="1"/>
  <c r="L54" i="1"/>
  <c r="F54" i="1"/>
  <c r="L55" i="1"/>
  <c r="F55" i="1"/>
  <c r="L56" i="1"/>
  <c r="F56" i="1"/>
  <c r="L57" i="1"/>
  <c r="F57" i="1"/>
  <c r="L58" i="1" l="1"/>
  <c r="F58" i="1"/>
  <c r="L59" i="1"/>
  <c r="F59" i="1"/>
  <c r="L60" i="1"/>
  <c r="F60" i="1"/>
  <c r="L61" i="1"/>
  <c r="F61" i="1"/>
  <c r="L62" i="1"/>
  <c r="F62" i="1"/>
  <c r="L63" i="1"/>
  <c r="F63" i="1"/>
  <c r="L64" i="1"/>
  <c r="F64" i="1"/>
  <c r="L65" i="1"/>
  <c r="F65" i="1"/>
  <c r="L66" i="1"/>
  <c r="F66" i="1"/>
  <c r="L67" i="1"/>
  <c r="F67" i="1"/>
  <c r="L68" i="1"/>
  <c r="F68" i="1"/>
  <c r="B10" i="8"/>
  <c r="L69" i="1" l="1"/>
  <c r="F69" i="1"/>
  <c r="L70" i="1"/>
  <c r="F70" i="1"/>
  <c r="F71" i="1"/>
  <c r="L71" i="1"/>
  <c r="L72" i="1"/>
  <c r="F72" i="1"/>
  <c r="L73" i="1"/>
  <c r="F73" i="1"/>
  <c r="L74" i="1" l="1"/>
  <c r="F74" i="1"/>
  <c r="L75" i="1"/>
  <c r="F75" i="1"/>
  <c r="L76" i="1"/>
  <c r="F76" i="1"/>
  <c r="L77" i="1"/>
  <c r="F77" i="1"/>
  <c r="L78" i="1"/>
  <c r="F78" i="1"/>
  <c r="L79" i="1"/>
  <c r="F79" i="1"/>
  <c r="L80" i="1"/>
  <c r="F80" i="1"/>
  <c r="L81" i="1"/>
  <c r="F81" i="1"/>
  <c r="L82" i="1" l="1"/>
  <c r="F82" i="1"/>
  <c r="L83" i="1"/>
  <c r="F83" i="1"/>
  <c r="L84" i="1"/>
  <c r="F84" i="1"/>
  <c r="L85" i="1"/>
  <c r="F85" i="1"/>
  <c r="L86" i="1"/>
  <c r="F86" i="1"/>
  <c r="L87" i="1"/>
  <c r="F87" i="1"/>
  <c r="B9" i="8"/>
  <c r="L88" i="1"/>
  <c r="F88" i="1"/>
  <c r="L89" i="1"/>
  <c r="F89" i="1"/>
  <c r="L90" i="1"/>
  <c r="F90" i="1"/>
  <c r="L91" i="1"/>
  <c r="F91" i="1"/>
  <c r="L92" i="1"/>
  <c r="F92" i="1"/>
  <c r="L93" i="1"/>
  <c r="F93" i="1"/>
  <c r="L94" i="1"/>
  <c r="F94" i="1"/>
  <c r="L95" i="1"/>
  <c r="F95" i="1"/>
  <c r="L96" i="1"/>
  <c r="F96" i="1"/>
  <c r="L97" i="1"/>
  <c r="F97" i="1"/>
  <c r="L98" i="1"/>
  <c r="F98" i="1"/>
  <c r="F99" i="1"/>
  <c r="L100" i="1"/>
  <c r="F100" i="1"/>
  <c r="L99" i="1" s="1"/>
  <c r="L101" i="1"/>
  <c r="F101" i="1"/>
  <c r="L102" i="1"/>
  <c r="F102" i="1"/>
  <c r="L103" i="1"/>
  <c r="F103" i="1"/>
  <c r="B8" i="8"/>
  <c r="E2" i="1" a="1"/>
  <c r="E2" i="1" s="1"/>
  <c r="L104" i="1"/>
  <c r="F104" i="1"/>
  <c r="L105" i="1"/>
  <c r="F105" i="1"/>
  <c r="L106" i="1"/>
  <c r="F106" i="1"/>
  <c r="L107" i="1"/>
  <c r="F107" i="1"/>
  <c r="L108" i="1"/>
  <c r="F108" i="1"/>
  <c r="L109" i="1"/>
  <c r="F109" i="1"/>
  <c r="L110" i="1"/>
  <c r="F110" i="1"/>
  <c r="L111" i="1"/>
  <c r="F111" i="1"/>
  <c r="L112" i="1"/>
  <c r="F112" i="1"/>
  <c r="L113" i="1"/>
  <c r="F113" i="1"/>
  <c r="L114" i="1"/>
  <c r="F114" i="1"/>
  <c r="L115" i="1"/>
  <c r="F115" i="1"/>
  <c r="L116" i="1"/>
  <c r="F116" i="1"/>
  <c r="L117" i="1"/>
  <c r="F117" i="1"/>
  <c r="L118" i="1"/>
  <c r="F118" i="1"/>
  <c r="L119" i="1"/>
  <c r="F119" i="1"/>
  <c r="L120" i="1"/>
  <c r="F120" i="1"/>
  <c r="L121" i="1"/>
  <c r="F121" i="1"/>
  <c r="L122" i="1"/>
  <c r="F122" i="1"/>
  <c r="B7" i="8"/>
  <c r="L123" i="1"/>
  <c r="F123" i="1"/>
  <c r="L124" i="1"/>
  <c r="F124" i="1"/>
  <c r="L125" i="1"/>
  <c r="F125" i="1"/>
  <c r="L126" i="1"/>
  <c r="F126" i="1"/>
  <c r="L127" i="1"/>
  <c r="F127" i="1"/>
  <c r="L128" i="1"/>
  <c r="F128" i="1"/>
  <c r="L129" i="1"/>
  <c r="F129" i="1"/>
  <c r="L130" i="1"/>
  <c r="F130" i="1"/>
  <c r="L131" i="1"/>
  <c r="F131" i="1"/>
  <c r="L132" i="1"/>
  <c r="F132" i="1"/>
  <c r="L133" i="1"/>
  <c r="F133" i="1"/>
  <c r="F134" i="1"/>
  <c r="F135" i="1"/>
  <c r="L134" i="1"/>
  <c r="L135" i="1"/>
  <c r="B6" i="8"/>
  <c r="L136" i="1"/>
  <c r="F136" i="1"/>
  <c r="L137" i="1"/>
  <c r="F137" i="1"/>
  <c r="L138" i="1"/>
  <c r="F138" i="1"/>
  <c r="L139" i="1"/>
  <c r="F139" i="1"/>
  <c r="L140" i="1"/>
  <c r="F140" i="1"/>
  <c r="L141" i="1"/>
  <c r="F141" i="1"/>
  <c r="L142" i="1"/>
  <c r="F142" i="1"/>
  <c r="L143" i="1"/>
  <c r="F143" i="1"/>
  <c r="L144" i="1"/>
  <c r="F144" i="1"/>
  <c r="L145" i="1"/>
  <c r="F145" i="1"/>
  <c r="L146" i="1"/>
  <c r="F146" i="1"/>
  <c r="F2" i="1" a="1"/>
  <c r="F2" i="1" s="1"/>
  <c r="L147" i="1"/>
  <c r="F147" i="1"/>
  <c r="L148" i="1"/>
  <c r="F148" i="1"/>
  <c r="L149" i="1"/>
  <c r="F149" i="1"/>
  <c r="L150" i="1"/>
  <c r="F150" i="1"/>
  <c r="L151" i="1"/>
  <c r="F151" i="1"/>
  <c r="L152" i="1"/>
  <c r="F152" i="1"/>
  <c r="B5" i="8"/>
  <c r="L153" i="1"/>
  <c r="F153" i="1"/>
  <c r="L154" i="1"/>
  <c r="F154" i="1"/>
  <c r="L155" i="1"/>
  <c r="F155" i="1"/>
  <c r="F6" i="1"/>
  <c r="E6" i="1" a="1"/>
  <c r="E6" i="1" s="1"/>
  <c r="L156" i="1"/>
  <c r="F156" i="1"/>
  <c r="L157" i="1"/>
  <c r="F157" i="1"/>
  <c r="L158" i="1"/>
  <c r="F158" i="1"/>
  <c r="F159" i="1"/>
  <c r="L159" i="1"/>
  <c r="L160" i="1"/>
  <c r="F160" i="1"/>
  <c r="L161" i="1"/>
  <c r="F161" i="1"/>
  <c r="L162" i="1"/>
  <c r="F162" i="1"/>
  <c r="L163" i="1"/>
  <c r="F163" i="1"/>
  <c r="B4" i="8"/>
  <c r="L164" i="1"/>
  <c r="F164" i="1"/>
  <c r="L165" i="1"/>
  <c r="F165" i="1"/>
  <c r="L166" i="1"/>
  <c r="F166" i="1"/>
  <c r="L167" i="1"/>
  <c r="F167" i="1"/>
  <c r="D2" i="1"/>
  <c r="D3" i="1" s="1"/>
  <c r="L168" i="1"/>
  <c r="F168" i="1"/>
  <c r="L169" i="1"/>
  <c r="F169" i="1"/>
  <c r="L170" i="1"/>
  <c r="F170" i="1"/>
  <c r="L171" i="1"/>
  <c r="F171" i="1"/>
  <c r="F5" i="1"/>
  <c r="G3" i="1" a="1"/>
  <c r="G3" i="1" s="1"/>
  <c r="G2" i="1" a="1"/>
  <c r="G2" i="1" s="1"/>
  <c r="G6" i="1"/>
  <c r="B2" i="8"/>
  <c r="B3" i="8"/>
  <c r="F172" i="1"/>
  <c r="L172" i="1"/>
  <c r="E3" i="8" a="1"/>
  <c r="E3" i="8" s="1"/>
  <c r="F1" i="1"/>
  <c r="L173" i="1"/>
  <c r="L174" i="1"/>
  <c r="L175" i="1"/>
  <c r="L176" i="1"/>
  <c r="L177" i="1"/>
  <c r="L178" i="1"/>
  <c r="L179" i="1"/>
  <c r="L180" i="1"/>
  <c r="L181" i="1"/>
  <c r="L182" i="1"/>
  <c r="L183" i="1"/>
  <c r="L184" i="1"/>
  <c r="L185" i="1"/>
  <c r="L186" i="1"/>
  <c r="L187" i="1"/>
  <c r="L188" i="1"/>
  <c r="L189" i="1"/>
  <c r="L190" i="1"/>
  <c r="L191" i="1"/>
  <c r="G5" i="1"/>
  <c r="F175" i="1"/>
  <c r="C6" i="1" l="1"/>
  <c r="C5" i="1"/>
  <c r="C7" i="1"/>
  <c r="C2" i="1"/>
  <c r="C3" i="1"/>
  <c r="C4" i="1"/>
  <c r="D6" i="1"/>
  <c r="E7" i="1" a="1"/>
  <c r="E7" i="1" s="1"/>
  <c r="E4" i="1" s="1" a="1"/>
  <c r="E4" i="1" s="1"/>
  <c r="E5" i="1" a="1"/>
  <c r="E5" i="1" s="1"/>
  <c r="E1" i="1" a="1"/>
  <c r="E1" i="1" s="1"/>
  <c r="D7" i="1"/>
  <c r="D4" i="1" s="1"/>
  <c r="D5" i="1"/>
  <c r="F174" i="1"/>
  <c r="F176" i="1"/>
  <c r="F177" i="1"/>
  <c r="F178" i="1"/>
  <c r="F179" i="1"/>
  <c r="F180" i="1"/>
  <c r="F181" i="1"/>
  <c r="F182" i="1"/>
  <c r="F183" i="1"/>
  <c r="F184" i="1"/>
  <c r="F185" i="1"/>
  <c r="F186" i="1"/>
  <c r="F187" i="1"/>
  <c r="F188" i="1"/>
  <c r="F189" i="1"/>
  <c r="F190" i="1"/>
  <c r="F191" i="1"/>
  <c r="F173" i="1"/>
  <c r="F7" i="1" l="1"/>
  <c r="F4" i="1" s="1"/>
  <c r="G7" i="1"/>
  <c r="G4" i="1" s="1"/>
  <c r="E4" i="8"/>
  <c r="E5" i="8" s="1"/>
  <c r="E6" i="8" s="1"/>
  <c r="E7" i="8" s="1"/>
  <c r="E8" i="8" s="1"/>
  <c r="E9" i="8" s="1"/>
  <c r="E10" i="8" s="1"/>
  <c r="E11" i="8" s="1"/>
  <c r="E12" i="8" s="1"/>
  <c r="E13" i="8" s="1"/>
  <c r="E14" i="8" s="1"/>
  <c r="AZ9" i="7"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<sst xmlns="http://schemas.openxmlformats.org/spreadsheetml/2006/main" count="298" uniqueCount="267">
  <si>
    <t>Piano: Haydn, review</t>
  </si>
  <si>
    <t>Counterpoint</t>
  </si>
  <si>
    <t>Variation 1</t>
  </si>
  <si>
    <t>Finish Bel Canto Fmajor period
Sentence based on theme</t>
  </si>
  <si>
    <t>Haydn, 12 and 19, start on st matthew 
bach fingerings</t>
  </si>
  <si>
    <t>Counterpoint: Singing both lines</t>
  </si>
  <si>
    <t>TASKS TO DO</t>
  </si>
  <si>
    <t>Review + Bach St Matthew Practice</t>
  </si>
  <si>
    <t>4 Slow Intros</t>
  </si>
  <si>
    <t>Variation 1: 4  measures</t>
  </si>
  <si>
    <t>Row Labels</t>
  </si>
  <si>
    <t>Grand Total</t>
  </si>
  <si>
    <t>Total Focus:</t>
  </si>
  <si>
    <t>Counterpoint singing:
Good progress, singing grace notes CF + line
and playing both lines</t>
  </si>
  <si>
    <t>Periods/Sentences: Very inefficient!!! BAD</t>
  </si>
  <si>
    <t>Adler 29: Tchaik (not much progress :()</t>
  </si>
  <si>
    <t>Variation 1: Damn well at least it's something… but an hour and 10 minutes..</t>
  </si>
  <si>
    <t>TAG</t>
  </si>
  <si>
    <t>Bach St. Matthew &amp; Tchaik (good progress on both)</t>
  </si>
  <si>
    <t>Pg 28 and 29, Singing grace notes, playing etc</t>
  </si>
  <si>
    <t>DAY</t>
  </si>
  <si>
    <t>TASK</t>
  </si>
  <si>
    <t>PAUSED</t>
  </si>
  <si>
    <t>POMO</t>
  </si>
  <si>
    <t>4 Slow Intros, Looked at Magic Flute overture, Read some Hepokoski and Darcy on Slow Intro</t>
  </si>
  <si>
    <t>Bach, Tchaik</t>
  </si>
  <si>
    <t xml:space="preserve">Tweak Variation </t>
  </si>
  <si>
    <t>LENGTH</t>
  </si>
  <si>
    <t>START</t>
  </si>
  <si>
    <t>END</t>
  </si>
  <si>
    <t>COUNT</t>
  </si>
  <si>
    <t>RATING</t>
  </si>
  <si>
    <t>SESSION</t>
  </si>
  <si>
    <t>RATE</t>
  </si>
  <si>
    <t>TOTAL</t>
  </si>
  <si>
    <t>Session</t>
  </si>
  <si>
    <t>Start Date</t>
  </si>
  <si>
    <t>End Date</t>
  </si>
  <si>
    <t>TODAY</t>
  </si>
  <si>
    <t>SessionEnds</t>
  </si>
  <si>
    <t>FormatDate</t>
  </si>
  <si>
    <t xml:space="preserve">Work on Tchaik 6 (Adler 29), Start on English Suite no. 1 Sarabande (slow start). </t>
  </si>
  <si>
    <t>Sarabande Fingerings—lots of switching fingers to maintain long line. Feeling tired</t>
  </si>
  <si>
    <t>wrote out the bassline for m. 9-12, basically just played the 16th note line from Friday over and over…</t>
  </si>
  <si>
    <t>Wrote out 2 Cantus, only able to complete one line</t>
  </si>
  <si>
    <t>Completed one line above cf</t>
  </si>
  <si>
    <t>3 Lines, 2 below ex. 19, one above 20.</t>
  </si>
  <si>
    <t>CHOOSE DISCIPLINE
Session Time h:mm</t>
  </si>
  <si>
    <t>1 above 1 below ex. 20</t>
  </si>
  <si>
    <t>Worked on Sarabande, not super deliberate</t>
  </si>
  <si>
    <t>Transcribe recordings of var and record a couple new (not very successful ones), start trying to sing variation and continuation while playing entire theme (this might be a good method for internalizing the structure more).</t>
  </si>
  <si>
    <t>Wrote out triple/compound cantus 24,25. comleted two above 24. but realized that the second is just a descending scale, got stuck for 10 min on that</t>
  </si>
  <si>
    <t>Accidentally learned and analyzed the wrong haydn example for half an hour!, then began learning the proper one.</t>
  </si>
  <si>
    <t>Finish ex 24, two lines above ex. 25. Took extra 10 min.</t>
  </si>
  <si>
    <t>Learned Mozart piano sonata excerpt 45a Just have to smooth the 'transitions'. Really feeling the frustration near the end and sitting with it. Trying to learn to enjoy frustration ;)</t>
  </si>
  <si>
    <t>Finished Ex. 25, started one line above ex. 26. Experimenting with strong beat passing note dissonance.</t>
  </si>
  <si>
    <t>Finished two lines above ex. 26 and one below.</t>
  </si>
  <si>
    <t xml:space="preserve">Start on completing two full 8 bar endings after recording a bit and set up staves, </t>
  </si>
  <si>
    <t>Finished one complete variation, last measure harmony changes to G minor then Cad64.</t>
  </si>
  <si>
    <t>Finish second complete var, similar to first, kinda wonky</t>
  </si>
  <si>
    <t>Found a couple similar continuations (first measure and a half, essentially, with lots of recorded material. However I got stuck on two or three options for too long.</t>
  </si>
  <si>
    <t>Mathis De Mahler. Difficulty: im-impossible. Just trying to write some fingerings in. maybe tristan chord? Polytonalisty?</t>
  </si>
  <si>
    <t>Very picky this time, only a couple new ideas, but one that may transpose nicely and follows a better line (not so choppy). Have to accept more / all ideas next time. Or else it's slow and inefficient.</t>
  </si>
  <si>
    <t>Spent most of the time making a document compiling all excerpts.</t>
  </si>
  <si>
    <t xml:space="preserve">Worked on several excerpts. Not systematic enough with revising mistakes. </t>
  </si>
  <si>
    <t>Set up 2 cantus, 6/4 and 3/2, completed one line avoiding intermittent 5ths and 8ves.</t>
  </si>
  <si>
    <t>Going through excerpts. Mozart, Haydn with the minor 9th, Nuages</t>
  </si>
  <si>
    <t>Wrote ~7 new first bars, a couple two bar phrases of last 8 in _.. Variation (long short short). Also realized important melodic intervals in last 8 bars.</t>
  </si>
  <si>
    <t>Fixed ending of first line, completed 1.5 more. Looked in Schoenberg counterpoint to see that there really are no dissonant neighbor tones in any of his examples. Will research. -&gt; seems right, and even fux only allows cambiata and dissonant passing tones</t>
  </si>
  <si>
    <t>Wrote new bar 7 that connects to beginning of variation motif, working on continuing the "romeo and juliet line" with some scalar lines. Found a complete ending but need to work out one transition. Still being too "picky"- next time to decide which bar to work on and write &gt;=10 versions to let flow and accept more ideas.</t>
  </si>
  <si>
    <t>Sarabande and Haydn</t>
  </si>
  <si>
    <t>Correct previous lines in 3/2 and finish 1.5 lines w/ avoiding intermittent perfect consonances. Wondering how bad leaping to unison is.</t>
  </si>
  <si>
    <t>slow start on variation work, some new ideas near the end, written down but unorganized.</t>
  </si>
  <si>
    <t>Completed last 3 6/4 lines, ex. 26</t>
  </si>
  <si>
    <t>Piano reduction of Tchaik 6 III and Mathis De Maler III excerpts</t>
  </si>
  <si>
    <t>Sang through corrected ex. 25 and 26</t>
  </si>
  <si>
    <t>Worked on various excerpts, haydn, bach</t>
  </si>
  <si>
    <t>Last 4 of _.. Var</t>
  </si>
  <si>
    <t>Complete variation _.. That im happy with. Bad with schedule today but back on it in the morning!</t>
  </si>
  <si>
    <t>Tchaik Valse</t>
  </si>
  <si>
    <t>Finalize variation ending to match motive at beginning of piece and begin writing it down neatly.</t>
  </si>
  <si>
    <t>Finish writing down var _..  Took so long! But looks good</t>
  </si>
  <si>
    <t xml:space="preserve">3 new variation ideas. </t>
  </si>
  <si>
    <t>add to prev. open chord block idea and two new ideas: 9/8 waltzy and largo w/ dotted rhythm.</t>
  </si>
  <si>
    <t>Read fourth species  counterpoint chapter</t>
  </si>
  <si>
    <t>Complete one above, one below Fourth species Ex. 28</t>
  </si>
  <si>
    <t>One above, one below Ex 26. Maybe not enough suspensions in example below</t>
  </si>
  <si>
    <t>Start learning Bach english suite gavotte: very good progress</t>
  </si>
  <si>
    <t>Wrote short paragraph on bach sarabande</t>
  </si>
  <si>
    <t xml:space="preserve">start on one treble countermelody variation with arpeggio inner voices. (quarter and eighth notes). </t>
  </si>
  <si>
    <t>First four bars of off-beat variation w/ hand crossing</t>
  </si>
  <si>
    <t>Go through excerpts, stopped at 44a haydn string quartet. Almost got it down</t>
  </si>
  <si>
    <t>left hand of new alto voice in st matthews, some haydn, and schubert</t>
  </si>
  <si>
    <t>read fifth species counterpoint chapter and play a few examples</t>
  </si>
  <si>
    <t>One above ex 30</t>
  </si>
  <si>
    <t>One below ex 30</t>
  </si>
  <si>
    <t>One above, one below ex 31, spent last 20 min correcting line below for parallels/intermittents and checking prev. lines also.</t>
  </si>
  <si>
    <t>Revision: Work on st matthew added voice, mostly.</t>
  </si>
  <si>
    <t>two bars of eighth note double arpeggio variation, and not much else</t>
  </si>
  <si>
    <t>st matthew last 8 bars, memorizing</t>
  </si>
  <si>
    <t>st matthew, haydn, and schubert memorization.</t>
  </si>
  <si>
    <t>did not focus on mathis der maler, played bach invention and tchaik excerpt instead</t>
  </si>
  <si>
    <t>Analysis paragraph of haydn Ex 44a</t>
  </si>
  <si>
    <t>Sing through own counterpoint solutions, practice singing both lines method.</t>
  </si>
  <si>
    <t>Mathis der Maler: finish piano reduction and write some fingerings, practice first few bars.</t>
  </si>
  <si>
    <t>Finish learning and memorize Gavotte: Use new method of looking at hands until make mistake, then look at music to recall. Afterwards, don't look at music at all and repeat hard sections without music</t>
  </si>
  <si>
    <t>review known excerpts</t>
  </si>
  <si>
    <t>sarabande harmonies</t>
  </si>
  <si>
    <t>internalize theme harmony</t>
  </si>
  <si>
    <t>Try to write out In paradisum without piano- got one bar but silly me tried it on piano and it is terrible so I cannot proceed with that but I will try again</t>
  </si>
  <si>
    <t>Second try: i cheated by seeing if a couple eighth notes work on the piano before starting but that's it. Ok lets see: not satisfied :( but I'll try to complete it later</t>
  </si>
  <si>
    <t>Continue with in paradisum variation without piano- redid bars 3, 4, got to bar 6.5 ~.</t>
  </si>
  <si>
    <t>Got to bar 9, but it really sounds quite terrible- some intervals I thought might work do not work even in the context of the moving line</t>
  </si>
  <si>
    <t>Redo Bottom line ex. 30</t>
  </si>
  <si>
    <t xml:space="preserve">Correct and sing through bottom line ex 31: notice that there are 4 measures of 6ths on consecutive downbeats (but approached by contrary motion across the barline). </t>
  </si>
  <si>
    <t>Write fingerings for Brahms cello sonata excerpt</t>
  </si>
  <si>
    <t>"attempt" to write offbeat variation without piano: in reality, write exactly 3 notes (but I did realize that the harmony is not exactly correct, so I fix).</t>
  </si>
  <si>
    <t>Write full right hand for offbeat variation without piano, and half of left hand. Just trying to include the main chord tones between the two hands. Tested"" on piano and sounds quite bad, but to be expected for the first draft since im not used to writing without piano- not hearing it i guess</t>
  </si>
  <si>
    <t>Complete off beat variation without piano, look at continuing in paradisum variation</t>
  </si>
  <si>
    <t>Nearly complete in paradisum variation without piano, two bars missing in left hand. Sounds horrid !</t>
  </si>
  <si>
    <t xml:space="preserve">Matis der Maler, first few measures practice. </t>
  </si>
  <si>
    <t>Working on Brahms Cello sonata and then beethoven septet excerpts</t>
  </si>
  <si>
    <t>some review and start on haydn string quartet: no fingerings yet</t>
  </si>
  <si>
    <t>Fingerings for Bach string quartet and mozart Bb piano sonata excerpts: working on trill timing for mozart</t>
  </si>
  <si>
    <t>Write paragraph on Mozart Piano Sonata K.V.279-III and begin harmonic analysis of Beethoven Septet Op. 20-IV</t>
  </si>
  <si>
    <t>offbeat variation</t>
  </si>
  <si>
    <t>in paradisum variation</t>
  </si>
  <si>
    <t>learn matis der maler better</t>
  </si>
  <si>
    <t>Sing counterpoint solutions, both lines. Helps also to sing only CF and audiate/imagine the counterpoint above/below. Also could try other way around. Miming on piano is interesting too.</t>
  </si>
  <si>
    <t>-</t>
  </si>
  <si>
    <t>none</t>
  </si>
  <si>
    <t>above and below first species minor: both solutions are the same except m. 6. Tried finding another but was taking very long</t>
  </si>
  <si>
    <t>Read minor counterpoint chapter and play a few examples. Zoned out</t>
  </si>
  <si>
    <t>above and below second species minor</t>
  </si>
  <si>
    <t>one above third species minor. A bit slow</t>
  </si>
  <si>
    <t>One above and below fourth species (half note suspensions).</t>
  </si>
  <si>
    <t>Practice brahms cello sonata excerpt. Focused</t>
  </si>
  <si>
    <t>RETROACTIVE LOG: I wrote the mixed species above and below and read the accompaniment chapter, log was not saved last night</t>
  </si>
  <si>
    <t>RETROACTIVE LOG: I wrote two measures on the In Paradisum variation using the piano (slow) last night</t>
  </si>
  <si>
    <t>Two more measures of In paradisum using the piano (very slow)</t>
  </si>
  <si>
    <t>Analysis paragraph of Ex. 46, Beethoven Septet Op.20-IV parallel double period</t>
  </si>
  <si>
    <t>Practice beethoven septet excerpt</t>
  </si>
  <si>
    <t>In paradisum variation, high C natural in bar 9, to hit high c sharp and d in last couple bars? Only got a couple bars done…</t>
  </si>
  <si>
    <t>One above one below 3/4 minor</t>
  </si>
  <si>
    <t>One above and below 64 ex. 38</t>
  </si>
  <si>
    <t>First eight bars of largo variation right hand (no piano), good overall shape of line I think.</t>
  </si>
  <si>
    <t>Fingerings and start practice 46b beethoven septet scherzo op 20</t>
  </si>
  <si>
    <t>Complete right hand for largo variation, left hand maybe triplets? Following the contour range (going up in second 4)</t>
  </si>
  <si>
    <t>47a, schubert, fingerings and focused pracrtice on chords both hands</t>
  </si>
  <si>
    <t>Start writing out borodin string quartet- sidetracked by how natural harmonics work, why a major 6th natural harmonix is same as major 3rd (both 1/5 multiples): major 6th is 5/3 so 1-3/5=2/5 way up the string?</t>
  </si>
  <si>
    <t>Chords in Schubert 46b</t>
  </si>
  <si>
    <t>Learn offset variation and part of in paradisum on piano, not very well..</t>
  </si>
  <si>
    <t>Sing and write In paradisum Variation, 4 new bars r.h</t>
  </si>
  <si>
    <t>to bar 9 in in paradisum variation, mega high e, added dotted quarter rhythm, slowing down but also accentuating climax. The high e on beat 9 is probably the overall climax of the variation.</t>
  </si>
  <si>
    <t>Write last 8 bars of in paradisum variation right hand. happy with the climax high e on bar 9 downbeat, but not sure if I should break up the 8th note rhythm somewhere else or if the descent to d4 by the end is too quick?</t>
  </si>
  <si>
    <t>Fix solutions below 35 and 37, took a while to try to avoid intermittent fifths in 37 and still have a somewhat interesting line</t>
  </si>
  <si>
    <t>Fix solution above minor mixed species ex. 38, also tweak below 37, and first couple measures below ex. 38</t>
  </si>
  <si>
    <t>Finish fix below 38, sing through both 38 exercises</t>
  </si>
  <si>
    <t>Piano review: beethoven septet, new schubert 47a</t>
  </si>
  <si>
    <t>analysis paragraph schuber 47a op 42-I</t>
  </si>
  <si>
    <t>Complete 7 bars of left hand, in paradisum variation, no piano except to check a few notes. I think it might be good to have the voices cross near the end when the right hand goes super low, but have them end low together.</t>
  </si>
  <si>
    <t>Complete left hand in paradisum variation, no piano (sitting in a park)</t>
  </si>
  <si>
    <t>Review excerpts, mostly memorize 46a beethoven septet op 20 IV excerpt</t>
  </si>
  <si>
    <t>Play through in paradisum variation, fix last couple measures, still need to rewrite left hand in 10-12, and maybe remove the hand crossing that appears still in 13</t>
  </si>
  <si>
    <t>new largo variation version, entire right hand. Added eight note triplets in bar 8, slows to quarter note triplets in bars 13 and 14</t>
  </si>
  <si>
    <t>Edit 2 analysis paragraphs based on corrections: Bach sarabande and haydn 10 bar period (string quartet)</t>
  </si>
  <si>
    <t>beethoven septet scherzo and good work on brahms cello sonata</t>
  </si>
  <si>
    <t>Writing out borodin string qtet from adler</t>
  </si>
  <si>
    <t>find boulanger quote about 68 rallies and music is more important</t>
  </si>
  <si>
    <t>Write violin harmonics piece</t>
  </si>
  <si>
    <t>Transcribe yancy's lullaby</t>
  </si>
  <si>
    <t>Write analysis paragraph of Beethoven Op. 2/1-III.</t>
  </si>
  <si>
    <t>Finish notating piano reduction of borodin str. Qtet no. 1 III harmonis section (ADLER 2-79)</t>
  </si>
  <si>
    <t>Fix some measures of in paradisum varition and fill in missing acc. With mechanical repetition of intervals as best I could</t>
  </si>
  <si>
    <t>did not really focus, played a lot of excerpts for some reason instead. But played through some of the examples from schoenebrgs first compositional application chapter. not too convinced by his examples for harmonic ambiguity</t>
  </si>
  <si>
    <t>Read through rest of  chapter VII schoenberg counterpoint: Gained some insight into suspensions and compared with bach sarabande, also have some questions about suspensions and weak beats (hierarchy of weak beats, their effect on the salience of the dissonance and or resolution of a suspension). Also, can suspensions of different meters occur close together, ie. one with half notes as the beats and another with quarter notes? Should this metrical shift be prepared in any way?</t>
  </si>
  <si>
    <t>Column Labels</t>
  </si>
  <si>
    <t>Sum of LENGTH</t>
  </si>
  <si>
    <t>Read through chapter VIII and look at some of the examples, taking notes in margins</t>
  </si>
  <si>
    <t>Writing</t>
  </si>
  <si>
    <t>Piano</t>
  </si>
  <si>
    <t>Analysis</t>
  </si>
  <si>
    <t>Reading</t>
  </si>
  <si>
    <t>Orchestration</t>
  </si>
  <si>
    <t>Play through some chorale excerpts listed in Schoenberg's accompaniment chapter</t>
  </si>
  <si>
    <t>Review piano excerpts, learn two new (haydn), and start on writing in fingerings for haydn 47b</t>
  </si>
  <si>
    <t xml:space="preserve">Complete in paradisum variation: tweak some notes and find ending that cadences to D major on extra measure: might work as a transition into the next variation. </t>
  </si>
  <si>
    <t xml:space="preserve">Write top line for 3/4 chorale variation, tannhauser inspired? And first bar, 3 part (both hands bass clef 8ve down). </t>
  </si>
  <si>
    <t>21-Feb</t>
  </si>
  <si>
    <t>22-Feb</t>
  </si>
  <si>
    <t>23-Feb</t>
  </si>
  <si>
    <t>25-Feb</t>
  </si>
  <si>
    <t>26-Feb</t>
  </si>
  <si>
    <t>27-Feb</t>
  </si>
  <si>
    <t>28-Feb</t>
  </si>
  <si>
    <t>29-Feb</t>
  </si>
  <si>
    <t>2-Mar</t>
  </si>
  <si>
    <t>3-Mar</t>
  </si>
  <si>
    <t>4-Mar</t>
  </si>
  <si>
    <t>5-Mar</t>
  </si>
  <si>
    <t>6-Mar</t>
  </si>
  <si>
    <t>7-Mar</t>
  </si>
  <si>
    <t>8-Mar</t>
  </si>
  <si>
    <t>10-Mar</t>
  </si>
  <si>
    <t>11-Mar</t>
  </si>
  <si>
    <t>12-Mar</t>
  </si>
  <si>
    <t>13-Mar</t>
  </si>
  <si>
    <t>14-Mar</t>
  </si>
  <si>
    <t>15-Mar</t>
  </si>
  <si>
    <t>17-Mar</t>
  </si>
  <si>
    <t>18-Mar</t>
  </si>
  <si>
    <t>19-Mar</t>
  </si>
  <si>
    <t>20-Mar</t>
  </si>
  <si>
    <t>21-Mar</t>
  </si>
  <si>
    <t>22-Mar</t>
  </si>
  <si>
    <t>24-Mar</t>
  </si>
  <si>
    <t>25-Mar</t>
  </si>
  <si>
    <t>26-Mar</t>
  </si>
  <si>
    <t>Average of RATING</t>
  </si>
  <si>
    <t>diabelli 7 and 10</t>
  </si>
  <si>
    <t>Write fingerings for in paradisum variation</t>
  </si>
  <si>
    <t>Learn thrme of diabelli variations</t>
  </si>
  <si>
    <t>analyse harmonies of diabelli theme and look at var xii</t>
  </si>
  <si>
    <t>Analyze var vii diabelli. Suspensions and pedal tones</t>
  </si>
  <si>
    <t>write fingerings for tannhauser overture brass chorale excerpt</t>
  </si>
  <si>
    <t>get nothing done trying to get chorale voicings for variation</t>
  </si>
  <si>
    <t>first three bars of chorale accomp. With an intersting secondary dominant. Slow, but now I have a more clear way forward</t>
  </si>
  <si>
    <t>learn in paradisum varition</t>
  </si>
  <si>
    <t>play through schoenberg cadences ex 40 and write a single cadence in eb. Wow 2hr umm</t>
  </si>
  <si>
    <t>2 measures of chorale variation accomp</t>
  </si>
  <si>
    <t>minor key cadence</t>
  </si>
  <si>
    <t>Feb</t>
  </si>
  <si>
    <t>Mar</t>
  </si>
  <si>
    <t>hellsinki organ</t>
  </si>
  <si>
    <t>finish chorale var away from piano</t>
  </si>
  <si>
    <t>Two drafts of rondo form for y's lullaby: second form is 16 part, ABACADAEADACABA. Good progressive theme orchestration. Relies on distinctive motivic material being present in b,c,d,e sections</t>
  </si>
  <si>
    <t>half of f minor cadence</t>
  </si>
  <si>
    <t>30 minutes improvising on lullaby theme</t>
  </si>
  <si>
    <t>2nd moxart excerpt and schubert op 53 II fingerings</t>
  </si>
  <si>
    <t>Learn all songs</t>
  </si>
  <si>
    <t>memorize all songs</t>
  </si>
  <si>
    <t>Read harp chapter</t>
  </si>
  <si>
    <t>set up score</t>
  </si>
  <si>
    <t>improv and write lullaby vars</t>
  </si>
  <si>
    <t>Fix Si mineure cadence</t>
  </si>
  <si>
    <t>practice various excerpts</t>
  </si>
  <si>
    <t>complete f minor cadence</t>
  </si>
  <si>
    <t>Complete 6/4 A major cadence, but it has ssequences and sounds quite disjointed. Also took way too long</t>
  </si>
  <si>
    <t>Practice excerpts- schubert, haydn, beethoven septet scherzo</t>
  </si>
  <si>
    <t>Edit analysis paragraphs according to corrections and begin bach st matthew paragraph</t>
  </si>
  <si>
    <t>Improv on lullaby theme</t>
  </si>
  <si>
    <t>somewhat chaotic improvisation on lullaby theme</t>
  </si>
  <si>
    <t>major progress on schubert piano sonata chorale-like and beethoven septet scherzo: like to interleave them when it gets very frustrating, then I come back to it and have solidified a bit. Let the mind do the work etc</t>
  </si>
  <si>
    <t>Finish st. matthew's  passion paragraph and write Haydn 27-II paragraph</t>
  </si>
  <si>
    <t>correct and practice borodin string quartet excerpt</t>
  </si>
  <si>
    <t xml:space="preserve">Complete 3 more excerpt paragraphs: tchaik 6 orchestration excerpt, Haydn 28-I and Haydn 33-I </t>
  </si>
  <si>
    <t>practice various excerpts.</t>
  </si>
  <si>
    <t>WRITE DOWN IMPROVS</t>
  </si>
  <si>
    <t>more practicing</t>
  </si>
  <si>
    <t>28-Mar</t>
  </si>
  <si>
    <t>29-Mar</t>
  </si>
  <si>
    <t>30-Mar</t>
  </si>
  <si>
    <t>31-Mar</t>
  </si>
  <si>
    <t>2-Apr</t>
  </si>
  <si>
    <t>3-Apr</t>
  </si>
  <si>
    <t>4-Apr</t>
  </si>
  <si>
    <t>Apr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</si>
</sst>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m/d/yy;@"/>
    <numFmt numFmtId="165" formatCode="[$-409]h:mm\ AM/PM;@"/>
    <numFmt numFmtId="166" formatCode="0\ &quot;min&quot;"/>
    <numFmt numFmtId="167" formatCode="0.0%"/>
    <numFmt numFmtId="168" formatCode="[h]&quot;h&quot;mm&quot;m&quot;;@"/>
    <numFmt numFmtId="169" formatCode="[$-409]mmmm\ d\,\ yyyy;@"/>
    <numFmt numFmtId="170" formatCode="[$-F800]dddd\,\ mmmm\ dd\,\ yyyy"/>
    <numFmt numFmtId="171" formatCode="&quot;END: &quot;ddd\ m/d\ "/>
    <numFmt numFmtId="172" formatCode="mm/dd/yyyy&quot;-&quot;mm/dd/yyyy"/>
    <numFmt numFmtId="173" formatCode="&quot;Choose: &quot;0"/>
    <numFmt numFmtId="174" formatCode="0\ &quot;Pomos&quot;"/>
    <numFmt numFmtId="175" formatCode="0.0%\ &quot;focus&quot;"/>
    <numFmt numFmtId="176" formatCode="&quot;Rating:&quot;\ 0.0"/>
    <numFmt numFmtId="177" formatCode="&quot;ends in &quot;0\ &quot;days&quot;"/>
  </numFmts>
  <fonts count="21" x14ac:knownFonts="1">
    <font>
      <sz val="12"/>
      <color theme="1"/>
      <name val="Tw Cen MT"/>
      <family val="2"/>
      <scheme val="minor"/>
    </font>
    <font>
      <sz val="8"/>
      <name val="Tw Cen MT"/>
      <family val="2"/>
      <scheme val="minor"/>
    </font>
    <font>
      <u/>
      <sz val="12"/>
      <color theme="1"/>
      <name val="Tw Cen MT"/>
      <family val="2"/>
      <scheme val="minor"/>
    </font>
    <font>
      <sz val="14"/>
      <color theme="1"/>
      <name val="Tw Cen MT"/>
      <family val="2"/>
      <scheme val="minor"/>
    </font>
    <font>
      <sz val="16"/>
      <color theme="1"/>
      <name val="Tw Cen MT"/>
      <family val="2"/>
      <scheme val="minor"/>
    </font>
    <font>
      <sz val="14"/>
      <color theme="0"/>
      <name val="Tw Cen MT"/>
      <family val="2"/>
      <scheme val="minor"/>
    </font>
    <font>
      <sz val="16"/>
      <color theme="0"/>
      <name val="Tw Cen MT"/>
      <family val="2"/>
      <scheme val="minor"/>
    </font>
    <font>
      <b/>
      <sz val="16"/>
      <color theme="0"/>
      <name val="Tw Cen MT"/>
      <family val="2"/>
      <scheme val="minor"/>
    </font>
    <font>
      <sz val="12"/>
      <color theme="1" tint="0.499984740745262"/>
      <name val="Tw Cen MT"/>
      <family val="2"/>
      <scheme val="minor"/>
    </font>
    <font>
      <sz val="12"/>
      <color theme="1"/>
      <name val="Tw Cen MT"/>
      <family val="2"/>
      <scheme val="minor"/>
    </font>
    <font>
      <b/>
      <u/>
      <sz val="14"/>
      <color theme="1"/>
      <name val="Tw Cen MT"/>
      <family val="2"/>
      <scheme val="minor"/>
    </font>
    <font>
      <b/>
      <sz val="16"/>
      <color theme="1"/>
      <name val="Tw Cen MT"/>
      <family val="2"/>
      <scheme val="minor"/>
    </font>
    <font>
      <sz val="18"/>
      <color theme="1"/>
      <name val="Tw Cen MT"/>
      <family val="2"/>
      <scheme val="minor"/>
    </font>
    <font>
      <sz val="12"/>
      <color theme="0"/>
      <name val="Tw Cen MT"/>
      <family val="2"/>
      <scheme val="minor"/>
    </font>
    <font>
      <b/>
      <sz val="14"/>
      <color theme="1"/>
      <name val="Tw Cen MT"/>
      <family val="2"/>
      <scheme val="minor"/>
    </font>
    <font>
      <i/>
      <sz val="14"/>
      <color theme="1"/>
      <name val="Tw Cen MT"/>
      <family val="2"/>
      <scheme val="minor"/>
    </font>
    <font>
      <i/>
      <sz val="12"/>
      <color theme="1"/>
      <name val="Tw Cen MT"/>
      <family val="2"/>
      <scheme val="minor"/>
    </font>
    <font>
      <sz val="18"/>
      <color theme="1" tint="0.249977111117893"/>
      <name val="Tw Cen MT"/>
      <family val="2"/>
      <scheme val="minor"/>
    </font>
    <font>
      <b/>
      <sz val="18"/>
      <color theme="1"/>
      <name val="Tw Cen MT"/>
      <family val="2"/>
      <scheme val="minor"/>
    </font>
    <font>
      <sz val="22"/>
      <color theme="1"/>
      <name val="Tw Cen MT"/>
      <family val="2"/>
      <scheme val="minor"/>
    </font>
    <font>
      <sz val="36"/>
      <color rgb="FFFF0000"/>
      <name val="Tw Cen MT"/>
      <family val="2"/>
      <scheme val="minor"/>
    </font>
  </fonts>
  <fills count="24">
    <fill>
      <patternFill patternType="none"/>
    </fill>
    <fill>
      <patternFill patternType="gray125"/>
    </fill>
    <fill>
      <patternFill patternType="solid">
        <fgColor rgb="FFFFF2BB"/>
        <bgColor indexed="64"/>
      </patternFill>
    </fill>
    <fill>
      <patternFill patternType="solid">
        <fgColor rgb="FFEF5056"/>
        <bgColor indexed="64"/>
      </patternFill>
    </fill>
    <fill>
      <patternFill patternType="solid">
        <fgColor rgb="FF99FFB9"/>
        <bgColor indexed="64"/>
      </patternFill>
    </fill>
    <fill>
      <patternFill patternType="solid">
        <fgColor rgb="FF9F8CFF"/>
        <bgColor indexed="64"/>
      </patternFill>
    </fill>
    <fill>
      <patternFill patternType="solid">
        <fgColor rgb="FF4191FF"/>
        <bgColor indexed="64"/>
      </patternFill>
    </fill>
    <fill>
      <patternFill patternType="solid">
        <fgColor rgb="FF4091FF"/>
        <bgColor indexed="64"/>
      </patternFill>
    </fill>
    <fill>
      <patternFill patternType="solid">
        <fgColor rgb="FFEF5055"/>
        <bgColor indexed="64"/>
      </patternFill>
    </fill>
    <fill>
      <patternFill patternType="solid">
        <fgColor rgb="FF71AD47"/>
        <bgColor indexed="64"/>
      </patternFill>
    </fill>
    <fill>
      <patternFill patternType="solid">
        <fgColor rgb="FF92431C"/>
        <bgColor indexed="64"/>
      </patternFill>
    </fill>
    <fill>
      <patternFill patternType="solid">
        <fgColor rgb="FF00C4B4"/>
        <bgColor indexed="64"/>
      </patternFill>
    </fill>
    <fill>
      <patternFill patternType="solid">
        <fgColor rgb="FF00D000"/>
        <bgColor indexed="64"/>
      </patternFill>
    </fill>
    <fill>
      <patternFill patternType="solid">
        <fgColor rgb="FFE4B305"/>
        <bgColor indexed="64"/>
      </patternFill>
    </fill>
    <fill>
      <patternFill patternType="solid">
        <fgColor rgb="FFE85322"/>
        <bgColor indexed="64"/>
      </patternFill>
    </fill>
    <fill>
      <patternFill patternType="solid">
        <fgColor rgb="FFE80000"/>
        <bgColor indexed="64"/>
      </patternFill>
    </fill>
    <fill>
      <patternFill patternType="solid">
        <fgColor theme="9"/>
        <bgColor indexed="64"/>
      </patternFill>
    </fill>
    <fill>
      <patternFill patternType="solid">
        <fgColor theme="4" tint="0.79998168889431442"/>
        <bgColor indexed="65"/>
      </patternFill>
    </fill>
    <fill>
      <patternFill patternType="solid">
        <fgColor theme="5"/>
      </patternFill>
    </fill>
    <fill>
      <patternFill patternType="solid">
        <fgColor theme="5" tint="0.39997558519241921"/>
        <bgColor indexed="64"/>
      </patternFill>
    </fill>
    <fill>
      <patternFill patternType="solid">
        <fgColor theme="5" tint="0.59999389629810485"/>
        <bgColor indexed="64"/>
      </patternFill>
    </fill>
    <fill>
      <patternFill patternType="solid">
        <fgColor rgb="FF02BDAD"/>
        <bgColor indexed="64"/>
      </patternFill>
    </fill>
    <fill>
      <patternFill patternType="solid">
        <fgColor theme="6"/>
      </patternFill>
    </fill>
    <fill>
      <patternFill patternType="solid">
        <fgColor rgb="FFFFF3BB"/>
        <bgColor indexed="64"/>
      </patternFill>
    </fill>
  </fills>
  <borders count="11">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indexed="64"/>
      </left>
      <right/>
      <top/>
      <bottom/>
      <diagonal/>
    </border>
    <border>
      <left style="thin">
        <color auto="1"/>
      </left>
      <right style="thin">
        <color auto="1"/>
      </right>
      <top/>
      <bottom/>
      <diagonal/>
    </border>
    <border>
      <left/>
      <right style="thin">
        <color indexed="64"/>
      </right>
      <top/>
      <bottom/>
      <diagonal/>
    </border>
    <border>
      <left style="thin">
        <color auto="1"/>
      </left>
      <right style="thin">
        <color auto="1"/>
      </right>
      <top style="thin">
        <color auto="1"/>
      </top>
      <bottom/>
      <diagonal/>
    </border>
    <border>
      <left/>
      <right style="thin">
        <color indexed="64"/>
      </right>
      <top style="thin">
        <color indexed="64"/>
      </top>
      <bottom/>
      <diagonal/>
    </border>
  </borders>
  <cellStyleXfs count="4">
    <xf numFmtId="0" fontId="0" fillId="0" borderId="0"/>
    <xf numFmtId="0" fontId="9" fillId="17" borderId="0" applyNumberFormat="0" applyBorder="0" applyAlignment="0" applyProtection="0"/>
    <xf numFmtId="0" fontId="13" fillId="18" borderId="0" applyNumberFormat="0" applyBorder="0" applyAlignment="0" applyProtection="0"/>
    <xf numFmtId="0" fontId="13" fillId="22" borderId="0" applyNumberFormat="0" applyBorder="0" applyAlignment="0" applyProtection="0"/>
  </cellStyleXfs>
  <cellXfs count="137">
    <xf numFmtId="0" fontId="0" fillId="0" borderId="0" xfId="0"/>
    <xf numFmtId="22" fontId="0" fillId="0" borderId="0" xfId="0" applyNumberFormat="1"/>
    <xf numFmtId="0" fontId="0" fillId="0" borderId="0" xfId="0" applyAlignment="1">
      <alignment horizontal="left"/>
    </xf>
    <xf numFmtId="0" fontId="0" fillId="0" borderId="0" xfId="0" pivotButton="1"/>
    <xf numFmtId="167" fontId="0" fillId="0" borderId="0" xfId="0" applyNumberFormat="1" applyAlignment="1">
      <alignment horizontal="left"/>
    </xf>
    <xf numFmtId="0" fontId="2" fillId="0" borderId="0" xfId="0" applyFont="1"/>
    <xf numFmtId="22" fontId="8" fillId="0" borderId="0" xfId="0" applyNumberFormat="1" applyFont="1"/>
    <xf numFmtId="0" fontId="8" fillId="0" borderId="0" xfId="0" applyFont="1"/>
    <xf numFmtId="0" fontId="3" fillId="0" borderId="0" xfId="0" applyFont="1"/>
    <xf numFmtId="14" fontId="3" fillId="0" borderId="0" xfId="0" applyNumberFormat="1" applyFont="1"/>
    <xf numFmtId="14" fontId="3" fillId="0" borderId="0" xfId="0" applyNumberFormat="1" applyFont="1" applyAlignment="1">
      <alignment horizontal="left"/>
    </xf>
    <xf numFmtId="2" fontId="3" fillId="0" borderId="0" xfId="0" applyNumberFormat="1" applyFont="1"/>
    <xf numFmtId="0" fontId="10" fillId="0" borderId="0" xfId="0" applyFont="1"/>
    <xf numFmtId="0" fontId="4" fillId="0" borderId="0" xfId="0" applyFont="1" applyAlignment="1">
      <alignment horizontal="center" vertical="center" wrapText="1"/>
    </xf>
    <xf numFmtId="166" fontId="9" fillId="17" borderId="0" xfId="1" applyNumberFormat="1" applyAlignment="1">
      <alignment horizontal="center" vertical="center"/>
    </xf>
    <xf numFmtId="1" fontId="0" fillId="15" borderId="2" xfId="0" applyNumberFormat="1" applyFill="1" applyBorder="1" applyAlignment="1">
      <alignment horizontal="center" vertical="center"/>
    </xf>
    <xf numFmtId="1" fontId="0" fillId="14" borderId="2" xfId="0" applyNumberFormat="1" applyFill="1" applyBorder="1" applyAlignment="1">
      <alignment horizontal="center" vertical="center"/>
    </xf>
    <xf numFmtId="1" fontId="0" fillId="13" borderId="2" xfId="0" applyNumberFormat="1" applyFill="1" applyBorder="1" applyAlignment="1">
      <alignment horizontal="center" vertical="center"/>
    </xf>
    <xf numFmtId="1" fontId="0" fillId="11" borderId="2" xfId="0" applyNumberFormat="1" applyFill="1" applyBorder="1" applyAlignment="1">
      <alignment horizontal="center" vertical="center"/>
    </xf>
    <xf numFmtId="0" fontId="6" fillId="0" borderId="0" xfId="0" applyFont="1" applyAlignment="1">
      <alignment horizontal="center" vertical="center" wrapText="1"/>
    </xf>
    <xf numFmtId="0" fontId="4" fillId="0" borderId="0" xfId="0" applyFont="1" applyAlignment="1">
      <alignment horizontal="left" vertical="top" wrapText="1"/>
    </xf>
    <xf numFmtId="169" fontId="4" fillId="0" borderId="0" xfId="0" applyNumberFormat="1" applyFont="1" applyAlignment="1">
      <alignment horizontal="left" vertical="top" wrapText="1"/>
    </xf>
    <xf numFmtId="170" fontId="0" fillId="0" borderId="0" xfId="0" applyNumberFormat="1"/>
    <xf numFmtId="0" fontId="0" fillId="0" borderId="0" xfId="0" applyProtection="1">
      <protection locked="0"/>
    </xf>
    <xf numFmtId="0" fontId="7" fillId="9" borderId="2" xfId="0" applyFont="1" applyFill="1" applyBorder="1" applyAlignment="1" applyProtection="1">
      <alignment horizontal="center" vertical="center"/>
      <protection locked="0"/>
    </xf>
    <xf numFmtId="0" fontId="4" fillId="0" borderId="2" xfId="0" applyFont="1" applyBorder="1" applyAlignment="1" applyProtection="1">
      <alignment wrapText="1"/>
      <protection locked="0"/>
    </xf>
    <xf numFmtId="1" fontId="0" fillId="12" borderId="10" xfId="0" applyNumberFormat="1" applyFill="1" applyBorder="1" applyAlignment="1">
      <alignment horizontal="center" vertical="center"/>
    </xf>
    <xf numFmtId="0" fontId="4" fillId="0" borderId="1" xfId="0" applyFont="1" applyBorder="1" applyAlignment="1">
      <alignment horizontal="center" vertical="center" wrapText="1"/>
    </xf>
    <xf numFmtId="166" fontId="5" fillId="16" borderId="10" xfId="0" applyNumberFormat="1" applyFont="1" applyFill="1" applyBorder="1" applyAlignment="1" applyProtection="1">
      <alignment horizontal="center" vertical="center"/>
      <protection locked="0"/>
    </xf>
    <xf numFmtId="170" fontId="0" fillId="0" borderId="1" xfId="0" applyNumberFormat="1" applyBorder="1" applyAlignment="1">
      <alignment horizontal="center" vertical="center" wrapText="1"/>
    </xf>
    <xf numFmtId="170" fontId="0" fillId="0" borderId="1" xfId="0" applyNumberFormat="1" applyBorder="1" applyAlignment="1">
      <alignment horizontal="center" vertical="center"/>
    </xf>
    <xf numFmtId="1" fontId="0" fillId="0" borderId="0" xfId="0" applyNumberFormat="1"/>
    <xf numFmtId="175" fontId="11" fillId="19" borderId="6" xfId="0" applyNumberFormat="1" applyFont="1" applyFill="1" applyBorder="1" applyAlignment="1">
      <alignment horizontal="center" vertical="center"/>
    </xf>
    <xf numFmtId="0" fontId="15" fillId="20" borderId="1" xfId="0" applyFont="1" applyFill="1" applyBorder="1" applyAlignment="1">
      <alignment horizontal="center" vertical="center" wrapText="1"/>
    </xf>
    <xf numFmtId="0" fontId="15" fillId="0" borderId="1" xfId="0" applyFont="1" applyBorder="1" applyAlignment="1">
      <alignment horizontal="center" vertical="center" wrapText="1"/>
    </xf>
    <xf numFmtId="0" fontId="15" fillId="0" borderId="2" xfId="0" applyFont="1" applyBorder="1" applyAlignment="1">
      <alignment horizontal="center" vertical="center"/>
    </xf>
    <xf numFmtId="172" fontId="16" fillId="0" borderId="7" xfId="0" applyNumberFormat="1" applyFont="1" applyBorder="1" applyAlignment="1">
      <alignment horizontal="center" vertical="center" wrapText="1"/>
    </xf>
    <xf numFmtId="0" fontId="16" fillId="0" borderId="8" xfId="0" applyFont="1" applyBorder="1" applyAlignment="1">
      <alignment horizontal="center" vertical="center"/>
    </xf>
    <xf numFmtId="173" fontId="16" fillId="0" borderId="7" xfId="0" applyNumberFormat="1" applyFont="1" applyBorder="1" applyAlignment="1" applyProtection="1">
      <alignment horizontal="center" vertical="center" wrapText="1"/>
      <protection locked="0"/>
    </xf>
    <xf numFmtId="0" fontId="16" fillId="0" borderId="8" xfId="0" applyFont="1" applyBorder="1" applyAlignment="1">
      <alignment horizontal="center" vertical="center" wrapText="1"/>
    </xf>
    <xf numFmtId="175" fontId="16" fillId="0" borderId="6" xfId="0" applyNumberFormat="1" applyFont="1" applyBorder="1" applyAlignment="1">
      <alignment horizontal="center" vertical="center"/>
    </xf>
    <xf numFmtId="174" fontId="16" fillId="0" borderId="7" xfId="0" applyNumberFormat="1" applyFont="1" applyBorder="1" applyAlignment="1">
      <alignment horizontal="center" vertical="center"/>
    </xf>
    <xf numFmtId="168" fontId="16" fillId="0" borderId="6" xfId="0" applyNumberFormat="1" applyFont="1" applyBorder="1" applyAlignment="1">
      <alignment horizontal="center" vertical="center"/>
    </xf>
    <xf numFmtId="168" fontId="16" fillId="0" borderId="7" xfId="0" applyNumberFormat="1" applyFont="1" applyBorder="1" applyAlignment="1">
      <alignment horizontal="center" vertical="center"/>
    </xf>
    <xf numFmtId="1" fontId="17" fillId="0" borderId="1" xfId="0" applyNumberFormat="1" applyFont="1" applyBorder="1" applyAlignment="1">
      <alignment horizontal="center" vertical="center" wrapText="1"/>
    </xf>
    <xf numFmtId="164" fontId="17" fillId="0" borderId="1" xfId="0" applyNumberFormat="1" applyFont="1" applyBorder="1" applyAlignment="1">
      <alignment horizontal="center" vertical="center" wrapText="1"/>
    </xf>
    <xf numFmtId="0" fontId="17" fillId="3" borderId="1" xfId="0" applyFont="1" applyFill="1" applyBorder="1" applyAlignment="1" applyProtection="1">
      <alignment horizontal="left" wrapText="1"/>
      <protection locked="0"/>
    </xf>
    <xf numFmtId="165" fontId="17" fillId="0" borderId="1" xfId="0" applyNumberFormat="1" applyFont="1" applyBorder="1" applyAlignment="1" applyProtection="1">
      <alignment horizontal="center" vertical="center" wrapText="1"/>
      <protection locked="0"/>
    </xf>
    <xf numFmtId="0" fontId="17" fillId="2" borderId="1" xfId="0" applyFont="1" applyFill="1" applyBorder="1" applyAlignment="1" applyProtection="1">
      <alignment horizontal="left" wrapText="1"/>
      <protection locked="0"/>
    </xf>
    <xf numFmtId="0" fontId="17" fillId="6" borderId="1" xfId="0" applyFont="1" applyFill="1" applyBorder="1" applyAlignment="1" applyProtection="1">
      <alignment wrapText="1"/>
      <protection locked="0"/>
    </xf>
    <xf numFmtId="0" fontId="17" fillId="4" borderId="1" xfId="0" applyFont="1" applyFill="1" applyBorder="1" applyAlignment="1" applyProtection="1">
      <alignment horizontal="left" wrapText="1"/>
      <protection locked="0"/>
    </xf>
    <xf numFmtId="0" fontId="17" fillId="8" borderId="1" xfId="0" applyFont="1" applyFill="1" applyBorder="1" applyAlignment="1" applyProtection="1">
      <alignment horizontal="left" wrapText="1"/>
      <protection locked="0"/>
    </xf>
    <xf numFmtId="14" fontId="17" fillId="0" borderId="1" xfId="0" applyNumberFormat="1" applyFont="1" applyBorder="1" applyAlignment="1">
      <alignment horizontal="center" vertical="center" wrapText="1"/>
    </xf>
    <xf numFmtId="0" fontId="17" fillId="7" borderId="1" xfId="0" applyFont="1" applyFill="1" applyBorder="1" applyAlignment="1" applyProtection="1">
      <alignment horizontal="left" wrapText="1"/>
      <protection locked="0"/>
    </xf>
    <xf numFmtId="168" fontId="18" fillId="20" borderId="6" xfId="0" applyNumberFormat="1" applyFont="1" applyFill="1" applyBorder="1" applyAlignment="1">
      <alignment horizontal="center" vertical="center"/>
    </xf>
    <xf numFmtId="168" fontId="15" fillId="20" borderId="6" xfId="0" applyNumberFormat="1" applyFont="1" applyFill="1" applyBorder="1" applyAlignment="1">
      <alignment horizontal="center" vertical="center"/>
    </xf>
    <xf numFmtId="174" fontId="18" fillId="20" borderId="6" xfId="0" applyNumberFormat="1" applyFont="1" applyFill="1" applyBorder="1" applyAlignment="1">
      <alignment horizontal="center" vertical="center"/>
    </xf>
    <xf numFmtId="172" fontId="15" fillId="19" borderId="7" xfId="0" applyNumberFormat="1" applyFont="1" applyFill="1" applyBorder="1" applyAlignment="1">
      <alignment horizontal="center" vertical="center" wrapText="1"/>
    </xf>
    <xf numFmtId="175" fontId="15" fillId="19" borderId="6" xfId="0" applyNumberFormat="1" applyFont="1" applyFill="1" applyBorder="1" applyAlignment="1">
      <alignment horizontal="center" vertical="center"/>
    </xf>
    <xf numFmtId="174" fontId="15" fillId="20" borderId="7" xfId="0" applyNumberFormat="1" applyFont="1" applyFill="1" applyBorder="1" applyAlignment="1">
      <alignment horizontal="center" vertical="center"/>
    </xf>
    <xf numFmtId="0" fontId="18" fillId="20" borderId="4" xfId="0" applyFont="1" applyFill="1" applyBorder="1" applyAlignment="1">
      <alignment horizontal="center" vertical="center" wrapText="1"/>
    </xf>
    <xf numFmtId="1" fontId="17" fillId="0" borderId="1" xfId="2" applyNumberFormat="1" applyFont="1" applyFill="1" applyBorder="1" applyAlignment="1" applyProtection="1">
      <alignment horizontal="center" vertical="center" wrapText="1"/>
    </xf>
    <xf numFmtId="164" fontId="17" fillId="0" borderId="1" xfId="2" applyNumberFormat="1" applyFont="1" applyFill="1" applyBorder="1" applyAlignment="1" applyProtection="1">
      <alignment horizontal="center" vertical="center" wrapText="1"/>
    </xf>
    <xf numFmtId="165" fontId="17" fillId="0" borderId="1" xfId="2" applyNumberFormat="1" applyFont="1" applyFill="1" applyBorder="1" applyAlignment="1" applyProtection="1">
      <alignment horizontal="center" vertical="center" wrapText="1"/>
      <protection locked="0"/>
    </xf>
    <xf numFmtId="0" fontId="17" fillId="3" borderId="1" xfId="2" applyFont="1" applyFill="1" applyBorder="1" applyAlignment="1" applyProtection="1">
      <alignment horizontal="left" wrapText="1"/>
      <protection locked="0"/>
    </xf>
    <xf numFmtId="0" fontId="17" fillId="2" borderId="1" xfId="2" applyFont="1" applyFill="1" applyBorder="1" applyAlignment="1" applyProtection="1">
      <alignment horizontal="left" wrapText="1"/>
      <protection locked="0"/>
    </xf>
    <xf numFmtId="0" fontId="17" fillId="4" borderId="1" xfId="2" applyFont="1" applyFill="1" applyBorder="1" applyAlignment="1" applyProtection="1">
      <alignment horizontal="left" wrapText="1"/>
      <protection locked="0"/>
    </xf>
    <xf numFmtId="176" fontId="14" fillId="19" borderId="6" xfId="0" applyNumberFormat="1" applyFont="1" applyFill="1" applyBorder="1" applyAlignment="1">
      <alignment horizontal="center" vertical="center"/>
    </xf>
    <xf numFmtId="176" fontId="15" fillId="19" borderId="7" xfId="0" applyNumberFormat="1" applyFont="1" applyFill="1" applyBorder="1" applyAlignment="1">
      <alignment horizontal="center" vertical="center"/>
    </xf>
    <xf numFmtId="176" fontId="16" fillId="0" borderId="7" xfId="0" applyNumberFormat="1" applyFont="1" applyBorder="1" applyAlignment="1">
      <alignment horizontal="center" vertical="center"/>
    </xf>
    <xf numFmtId="176" fontId="16" fillId="0" borderId="8" xfId="0" applyNumberFormat="1" applyFont="1" applyBorder="1" applyAlignment="1">
      <alignment horizontal="center" vertical="center"/>
    </xf>
    <xf numFmtId="166" fontId="17" fillId="0" borderId="1" xfId="2" applyNumberFormat="1" applyFont="1" applyFill="1" applyBorder="1" applyAlignment="1" applyProtection="1">
      <alignment horizontal="center" vertical="center" wrapText="1"/>
      <protection locked="0"/>
    </xf>
    <xf numFmtId="166" fontId="17" fillId="0" borderId="1" xfId="0" applyNumberFormat="1" applyFont="1" applyBorder="1" applyAlignment="1" applyProtection="1">
      <alignment horizontal="center" vertical="center" wrapText="1"/>
      <protection locked="0"/>
    </xf>
    <xf numFmtId="14" fontId="11" fillId="19" borderId="6" xfId="0" applyNumberFormat="1" applyFont="1" applyFill="1" applyBorder="1" applyAlignment="1">
      <alignment horizontal="center" vertical="center"/>
    </xf>
    <xf numFmtId="0" fontId="17" fillId="10" borderId="1" xfId="2" applyFont="1" applyFill="1" applyBorder="1" applyAlignment="1" applyProtection="1">
      <alignment horizontal="left" wrapText="1"/>
      <protection locked="0"/>
    </xf>
    <xf numFmtId="0" fontId="4" fillId="2" borderId="4" xfId="0" applyFont="1" applyFill="1" applyBorder="1" applyAlignment="1">
      <alignment horizontal="center" vertical="center"/>
    </xf>
    <xf numFmtId="0" fontId="4" fillId="3" borderId="4" xfId="0" applyFont="1" applyFill="1" applyBorder="1" applyAlignment="1">
      <alignment horizontal="center" vertical="center"/>
    </xf>
    <xf numFmtId="0" fontId="4" fillId="4" borderId="4" xfId="0" applyFont="1" applyFill="1" applyBorder="1" applyAlignment="1">
      <alignment horizontal="center" vertical="center"/>
    </xf>
    <xf numFmtId="0" fontId="4" fillId="6" borderId="4" xfId="0" applyFont="1" applyFill="1" applyBorder="1" applyAlignment="1">
      <alignment horizontal="center" vertical="center"/>
    </xf>
    <xf numFmtId="0" fontId="4" fillId="5" borderId="4" xfId="0" applyFont="1" applyFill="1" applyBorder="1" applyAlignment="1">
      <alignment horizontal="center" vertical="center"/>
    </xf>
    <xf numFmtId="0" fontId="4" fillId="10" borderId="0" xfId="0" applyFont="1" applyFill="1" applyAlignment="1">
      <alignment horizontal="center" vertical="center"/>
    </xf>
    <xf numFmtId="0" fontId="12" fillId="0" borderId="4" xfId="0" applyFont="1" applyBorder="1" applyAlignment="1">
      <alignment horizontal="center" vertical="center" wrapText="1"/>
    </xf>
    <xf numFmtId="171" fontId="15" fillId="20" borderId="0" xfId="0" applyNumberFormat="1" applyFont="1" applyFill="1" applyAlignment="1" applyProtection="1">
      <alignment horizontal="center" vertical="center"/>
      <protection locked="0"/>
    </xf>
    <xf numFmtId="177" fontId="11" fillId="20" borderId="7" xfId="0" applyNumberFormat="1" applyFont="1" applyFill="1" applyBorder="1" applyAlignment="1">
      <alignment horizontal="center" vertical="center"/>
    </xf>
    <xf numFmtId="0" fontId="17" fillId="11" borderId="1" xfId="2" applyFont="1" applyFill="1" applyBorder="1" applyAlignment="1" applyProtection="1">
      <alignment horizontal="center" vertical="center" wrapText="1"/>
      <protection locked="0"/>
    </xf>
    <xf numFmtId="0" fontId="17" fillId="13" borderId="1" xfId="2" applyFont="1" applyFill="1" applyBorder="1" applyAlignment="1" applyProtection="1">
      <alignment horizontal="center" vertical="center" wrapText="1"/>
      <protection locked="0"/>
    </xf>
    <xf numFmtId="0" fontId="17" fillId="14" borderId="1" xfId="2" applyFont="1" applyFill="1" applyBorder="1" applyAlignment="1" applyProtection="1">
      <alignment horizontal="center" vertical="center" wrapText="1"/>
      <protection locked="0"/>
    </xf>
    <xf numFmtId="0" fontId="17" fillId="15" borderId="1" xfId="2" applyFont="1" applyFill="1" applyBorder="1" applyAlignment="1" applyProtection="1">
      <alignment horizontal="center" vertical="center" wrapText="1"/>
      <protection locked="0"/>
    </xf>
    <xf numFmtId="0" fontId="17" fillId="14" borderId="1" xfId="0" applyFont="1" applyFill="1" applyBorder="1" applyAlignment="1" applyProtection="1">
      <alignment horizontal="center" vertical="center" wrapText="1"/>
      <protection locked="0"/>
    </xf>
    <xf numFmtId="0" fontId="17" fillId="0" borderId="1" xfId="0" applyFont="1" applyBorder="1" applyAlignment="1" applyProtection="1">
      <alignment horizontal="center" vertical="center"/>
      <protection locked="0"/>
    </xf>
    <xf numFmtId="168" fontId="17" fillId="0" borderId="1" xfId="2" applyNumberFormat="1" applyFont="1" applyFill="1" applyBorder="1" applyAlignment="1" applyProtection="1">
      <alignment horizontal="center" vertical="center" wrapText="1"/>
    </xf>
    <xf numFmtId="0" fontId="17" fillId="12" borderId="1" xfId="2" applyFont="1" applyFill="1" applyBorder="1" applyAlignment="1" applyProtection="1">
      <alignment horizontal="center" vertical="center" wrapText="1"/>
      <protection locked="0"/>
    </xf>
    <xf numFmtId="0" fontId="17" fillId="21" borderId="1" xfId="2" applyFont="1" applyFill="1" applyBorder="1" applyAlignment="1" applyProtection="1">
      <alignment horizontal="center" vertical="center" wrapText="1"/>
      <protection locked="0"/>
    </xf>
    <xf numFmtId="168" fontId="17" fillId="0" borderId="1" xfId="0" applyNumberFormat="1" applyFont="1" applyBorder="1" applyAlignment="1">
      <alignment horizontal="center" vertical="center" wrapText="1"/>
    </xf>
    <xf numFmtId="1" fontId="6" fillId="22" borderId="5" xfId="3" applyNumberFormat="1" applyFont="1" applyBorder="1" applyAlignment="1" applyProtection="1">
      <alignment horizontal="center" vertical="center" wrapText="1"/>
      <protection locked="0"/>
    </xf>
    <xf numFmtId="164" fontId="6" fillId="22" borderId="5" xfId="3" applyNumberFormat="1" applyFont="1" applyBorder="1" applyAlignment="1" applyProtection="1">
      <alignment horizontal="center" vertical="center" wrapText="1"/>
      <protection locked="0"/>
    </xf>
    <xf numFmtId="0" fontId="6" fillId="22" borderId="3" xfId="3" applyFont="1" applyBorder="1" applyAlignment="1" applyProtection="1">
      <alignment horizontal="center" vertical="center" wrapText="1"/>
      <protection locked="0"/>
    </xf>
    <xf numFmtId="165" fontId="6" fillId="22" borderId="3" xfId="3" applyNumberFormat="1" applyFont="1" applyBorder="1" applyAlignment="1" applyProtection="1">
      <alignment horizontal="center" vertical="center" wrapText="1"/>
      <protection locked="0"/>
    </xf>
    <xf numFmtId="0" fontId="6" fillId="22" borderId="3" xfId="3" applyFont="1" applyBorder="1" applyAlignment="1" applyProtection="1">
      <alignment horizontal="center" vertical="center"/>
      <protection locked="0"/>
    </xf>
    <xf numFmtId="0" fontId="6" fillId="22" borderId="1" xfId="3" applyFont="1" applyBorder="1" applyAlignment="1" applyProtection="1">
      <alignment horizontal="center" vertical="center" wrapText="1"/>
      <protection locked="0"/>
    </xf>
    <xf numFmtId="0" fontId="6" fillId="22" borderId="1" xfId="3" applyFont="1" applyBorder="1" applyAlignment="1" applyProtection="1">
      <alignment horizontal="center"/>
      <protection locked="0"/>
    </xf>
    <xf numFmtId="1" fontId="17" fillId="0" borderId="1" xfId="3" applyNumberFormat="1" applyFont="1" applyFill="1" applyBorder="1" applyAlignment="1" applyProtection="1">
      <alignment horizontal="center" vertical="center" wrapText="1"/>
    </xf>
    <xf numFmtId="164" fontId="17" fillId="0" borderId="1" xfId="3" applyNumberFormat="1" applyFont="1" applyFill="1" applyBorder="1" applyAlignment="1" applyProtection="1">
      <alignment horizontal="center" vertical="center" wrapText="1"/>
    </xf>
    <xf numFmtId="165" fontId="17" fillId="0" borderId="1" xfId="3" applyNumberFormat="1" applyFont="1" applyFill="1" applyBorder="1" applyAlignment="1" applyProtection="1">
      <alignment horizontal="center" vertical="center" wrapText="1"/>
      <protection locked="0"/>
    </xf>
    <xf numFmtId="168" fontId="17" fillId="0" borderId="1" xfId="3" applyNumberFormat="1" applyFont="1" applyFill="1" applyBorder="1" applyAlignment="1" applyProtection="1">
      <alignment horizontal="center" vertical="center" wrapText="1"/>
    </xf>
    <xf numFmtId="166" fontId="17" fillId="0" borderId="1" xfId="3" applyNumberFormat="1" applyFont="1" applyFill="1" applyBorder="1" applyAlignment="1" applyProtection="1">
      <alignment horizontal="center" vertical="center" wrapText="1"/>
      <protection locked="0"/>
    </xf>
    <xf numFmtId="0" fontId="17" fillId="0" borderId="1" xfId="3" applyFont="1" applyFill="1" applyBorder="1" applyAlignment="1" applyProtection="1">
      <alignment horizontal="center" vertical="center" wrapText="1"/>
      <protection locked="0"/>
    </xf>
    <xf numFmtId="0" fontId="6" fillId="0" borderId="1" xfId="3" applyNumberFormat="1" applyFont="1" applyFill="1" applyBorder="1" applyAlignment="1" applyProtection="1">
      <alignment horizontal="center" vertical="center" wrapText="1"/>
    </xf>
    <xf numFmtId="0" fontId="4" fillId="22" borderId="1" xfId="3" applyFont="1" applyBorder="1" applyAlignment="1" applyProtection="1">
      <alignment horizontal="center" vertical="center" wrapText="1"/>
    </xf>
    <xf numFmtId="168" fontId="4" fillId="22" borderId="1" xfId="3" applyNumberFormat="1" applyFont="1" applyBorder="1" applyAlignment="1" applyProtection="1">
      <alignment horizontal="center" vertical="center" wrapText="1"/>
      <protection locked="0"/>
    </xf>
    <xf numFmtId="170" fontId="0" fillId="0" borderId="1" xfId="3" applyNumberFormat="1" applyFont="1" applyFill="1" applyBorder="1" applyAlignment="1" applyProtection="1">
      <alignment horizontal="center" vertical="center" wrapText="1"/>
    </xf>
    <xf numFmtId="0" fontId="17" fillId="4" borderId="1" xfId="3" applyFont="1" applyFill="1" applyBorder="1" applyAlignment="1" applyProtection="1">
      <alignment horizontal="left" wrapText="1"/>
      <protection locked="0"/>
    </xf>
    <xf numFmtId="0" fontId="17" fillId="13" borderId="1" xfId="3" applyFont="1" applyFill="1" applyBorder="1" applyAlignment="1" applyProtection="1">
      <alignment horizontal="center" vertical="center" wrapText="1"/>
      <protection locked="0"/>
    </xf>
    <xf numFmtId="0" fontId="17" fillId="11" borderId="1" xfId="3" applyFont="1" applyFill="1" applyBorder="1" applyAlignment="1" applyProtection="1">
      <alignment horizontal="center" vertical="center" wrapText="1"/>
      <protection locked="0"/>
    </xf>
    <xf numFmtId="0" fontId="17" fillId="2" borderId="1" xfId="3" applyFont="1" applyFill="1" applyBorder="1" applyAlignment="1" applyProtection="1">
      <alignment horizontal="left" wrapText="1"/>
      <protection locked="0"/>
    </xf>
    <xf numFmtId="0" fontId="17" fillId="3" borderId="1" xfId="3" applyFont="1" applyFill="1" applyBorder="1" applyAlignment="1" applyProtection="1">
      <alignment horizontal="left" wrapText="1"/>
      <protection locked="0"/>
    </xf>
    <xf numFmtId="0" fontId="17" fillId="14" borderId="1" xfId="3" applyFont="1" applyFill="1" applyBorder="1" applyAlignment="1" applyProtection="1">
      <alignment horizontal="center" vertical="center" wrapText="1"/>
      <protection locked="0"/>
    </xf>
    <xf numFmtId="0" fontId="17" fillId="6" borderId="1" xfId="3" applyFont="1" applyFill="1" applyBorder="1" applyAlignment="1" applyProtection="1">
      <alignment horizontal="left" wrapText="1"/>
      <protection locked="0"/>
    </xf>
    <xf numFmtId="0" fontId="17" fillId="10" borderId="1" xfId="3" applyFont="1" applyFill="1" applyBorder="1" applyAlignment="1" applyProtection="1">
      <alignment horizontal="left" wrapText="1"/>
      <protection locked="0"/>
    </xf>
    <xf numFmtId="0" fontId="4" fillId="0" borderId="1" xfId="3" applyFont="1" applyFill="1" applyBorder="1" applyAlignment="1" applyProtection="1">
      <alignment horizontal="center" vertical="center" wrapText="1"/>
    </xf>
    <xf numFmtId="0" fontId="6" fillId="0" borderId="1" xfId="0" applyFont="1" applyBorder="1" applyAlignment="1">
      <alignment horizontal="center" vertical="center" wrapText="1"/>
    </xf>
    <xf numFmtId="0" fontId="17" fillId="5" borderId="1" xfId="3" applyFont="1" applyFill="1" applyBorder="1" applyAlignment="1" applyProtection="1">
      <alignment horizontal="left" wrapText="1"/>
      <protection locked="0"/>
    </xf>
    <xf numFmtId="0" fontId="17" fillId="21" borderId="1" xfId="3" applyFont="1" applyFill="1" applyBorder="1" applyAlignment="1" applyProtection="1">
      <alignment horizontal="center" vertical="center" wrapText="1"/>
      <protection locked="0"/>
    </xf>
    <xf numFmtId="0" fontId="17" fillId="15" borderId="1" xfId="3" applyFont="1" applyFill="1" applyBorder="1" applyAlignment="1" applyProtection="1">
      <alignment horizontal="center" vertical="center" wrapText="1"/>
      <protection locked="0"/>
    </xf>
    <xf numFmtId="0" fontId="17" fillId="12" borderId="1" xfId="3" applyFont="1" applyFill="1" applyBorder="1" applyAlignment="1" applyProtection="1">
      <alignment horizontal="center" vertical="center" wrapText="1"/>
      <protection locked="0"/>
    </xf>
    <xf numFmtId="0" fontId="17" fillId="23" borderId="1" xfId="3" applyFont="1" applyFill="1" applyBorder="1" applyAlignment="1" applyProtection="1">
      <alignment horizontal="left" wrapText="1"/>
      <protection locked="0"/>
    </xf>
    <xf numFmtId="0" fontId="17" fillId="8" borderId="1" xfId="3" applyFont="1" applyFill="1" applyBorder="1" applyAlignment="1" applyProtection="1">
      <alignment horizontal="left" wrapText="1"/>
      <protection locked="0"/>
    </xf>
    <xf numFmtId="1" fontId="0" fillId="0" borderId="0" xfId="0" applyNumberFormat="1" applyAlignment="1">
      <alignment horizontal="left"/>
    </xf>
    <xf numFmtId="168" fontId="0" fillId="0" borderId="0" xfId="0" applyNumberFormat="1"/>
    <xf numFmtId="170" fontId="4" fillId="0" borderId="0" xfId="0" applyNumberFormat="1" applyFont="1" applyAlignment="1">
      <alignment horizontal="left" vertical="top" wrapText="1"/>
    </xf>
    <xf numFmtId="0" fontId="17" fillId="7" borderId="1" xfId="3" applyFont="1" applyFill="1" applyBorder="1" applyAlignment="1" applyProtection="1">
      <alignment horizontal="left" wrapText="1"/>
      <protection locked="0"/>
    </xf>
    <xf numFmtId="0" fontId="0" fillId="0" borderId="0" xfId="0" applyAlignment="1">
      <alignment horizontal="left" indent="1"/>
    </xf>
    <xf numFmtId="0" fontId="19" fillId="0" borderId="1" xfId="0" applyFont="1" applyBorder="1"/>
    <xf numFmtId="0" fontId="20" fillId="0" borderId="2" xfId="0" applyFont="1" applyBorder="1" applyAlignment="1" applyProtection="1">
      <alignment wrapText="1"/>
      <protection locked="0"/>
    </xf>
    <xf numFmtId="0" fontId="4" fillId="0" borderId="9" xfId="0" applyFont="1" applyBorder="1" applyAlignment="1">
      <alignment horizontal="center" vertical="center"/>
    </xf>
    <xf numFmtId="0" fontId="4" fillId="0" borderId="3" xfId="0" applyFont="1" applyBorder="1" applyAlignment="1">
      <alignment horizontal="center" vertical="center"/>
    </xf>
    <xf numFmtId="0" fontId="0" fillId="0" borderId="0" xfId="0" applyAlignment="1">
      <alignment horizontal="center"/>
    </xf>
  </cellXfs>
  <cellStyles count="4">
    <cellStyle name="20% - Accent1" xfId="1" builtinId="30"/>
    <cellStyle name="Accent2" xfId="2" builtinId="33"/>
    <cellStyle name="Accent3" xfId="3" builtinId="37"/>
    <cellStyle name="Normal" xfId="0" builtinId="0"/>
  </cellStyles>
  <dxfs count="40">
    <dxf>
      <numFmt numFmtId="168" formatCode="[h]&quot;h&quot;mm&quot;m&quot;;@"/>
    </dxf>
    <dxf>
      <numFmt numFmtId="168" formatCode="[h]&quot;h&quot;mm&quot;m&quot;;@"/>
    </dxf>
    <dxf>
      <numFmt numFmtId="168" formatCode="[h]&quot;h&quot;mm&quot;m&quot;;@"/>
    </dxf>
    <dxf>
      <numFmt numFmtId="168" formatCode="[h]&quot;h&quot;mm&quot;m&quot;;@"/>
    </dxf>
    <dxf>
      <numFmt numFmtId="170" formatCode="[$-F800]dddd\,\ mmmm\ dd\,\ yyyy"/>
    </dxf>
    <dxf>
      <font>
        <b val="0"/>
        <i val="0"/>
        <strike val="0"/>
        <condense val="0"/>
        <extend val="0"/>
        <outline val="0"/>
        <shadow val="0"/>
        <u val="none"/>
        <vertAlign val="baseline"/>
        <sz val="16"/>
        <color theme="1"/>
        <name val="Tw Cen MT"/>
        <family val="2"/>
        <scheme val="minor"/>
      </font>
      <numFmt numFmtId="170" formatCode="[$-F800]dddd\,\ mmmm\ dd\,\ yyyy"/>
      <alignment horizontal="left" vertical="top" textRotation="0" wrapText="1" indent="0" justifyLastLine="0" shrinkToFit="0" readingOrder="0"/>
    </dxf>
    <dxf>
      <font>
        <b val="0"/>
        <i val="0"/>
        <strike val="0"/>
        <condense val="0"/>
        <extend val="0"/>
        <outline val="0"/>
        <shadow val="0"/>
        <u val="none"/>
        <vertAlign val="baseline"/>
        <sz val="16"/>
        <color theme="1"/>
        <name val="Tw Cen MT"/>
        <family val="2"/>
        <scheme val="minor"/>
      </font>
      <numFmt numFmtId="170" formatCode="[$-F800]dddd\,\ mmmm\ dd\,\ yyyy"/>
      <alignment horizontal="left" vertical="top" textRotation="0" wrapText="1" indent="0" justifyLastLine="0" shrinkToFit="0" readingOrder="0"/>
    </dxf>
    <dxf>
      <font>
        <b val="0"/>
        <i val="0"/>
        <strike val="0"/>
        <condense val="0"/>
        <extend val="0"/>
        <outline val="0"/>
        <shadow val="0"/>
        <u val="none"/>
        <vertAlign val="baseline"/>
        <sz val="16"/>
        <color theme="1"/>
        <name val="Tw Cen MT"/>
        <family val="2"/>
        <scheme val="minor"/>
      </font>
      <alignment horizontal="left" vertical="top" textRotation="0" wrapText="1" indent="0" justifyLastLine="0" shrinkToFit="0" readingOrder="0"/>
    </dxf>
    <dxf>
      <font>
        <b val="0"/>
        <i val="0"/>
        <strike val="0"/>
        <condense val="0"/>
        <extend val="0"/>
        <outline val="0"/>
        <shadow val="0"/>
        <u val="none"/>
        <vertAlign val="baseline"/>
        <sz val="16"/>
        <color theme="1"/>
        <name val="Tw Cen MT"/>
        <family val="2"/>
        <scheme val="minor"/>
      </font>
      <alignment horizontal="left" vertical="top" textRotation="0" wrapText="1" indent="0" justifyLastLine="0" shrinkToFit="0" readingOrder="0"/>
    </dxf>
    <dxf>
      <font>
        <b val="0"/>
        <i val="0"/>
        <strike val="0"/>
        <condense val="0"/>
        <extend val="0"/>
        <outline val="0"/>
        <shadow val="0"/>
        <u val="none"/>
        <vertAlign val="baseline"/>
        <sz val="16"/>
        <color theme="0"/>
        <name val="Tw Cen MT"/>
        <family val="2"/>
        <scheme val="minor"/>
      </font>
      <alignment horizontal="center" vertical="center" textRotation="0" wrapText="1" indent="0" justifyLastLine="0" shrinkToFit="0" readingOrder="0"/>
    </dxf>
    <dxf>
      <font>
        <b/>
        <i val="0"/>
        <color theme="1" tint="4.9989318521683403E-2"/>
      </font>
      <border>
        <left style="thin">
          <color auto="1"/>
        </left>
        <right style="thin">
          <color auto="1"/>
        </right>
        <top style="thin">
          <color auto="1"/>
        </top>
        <bottom style="thin">
          <color auto="1"/>
        </bottom>
        <vertical/>
        <horizontal/>
      </border>
    </dxf>
    <dxf>
      <font>
        <b/>
        <i val="0"/>
        <color theme="1" tint="4.9989318521683403E-2"/>
      </font>
      <fill>
        <patternFill>
          <bgColor theme="9" tint="0.59996337778862885"/>
        </patternFill>
      </fill>
      <border>
        <left style="thin">
          <color auto="1"/>
        </left>
        <right style="thin">
          <color auto="1"/>
        </right>
        <top style="thin">
          <color auto="1"/>
        </top>
        <bottom style="thin">
          <color auto="1"/>
        </bottom>
        <vertical/>
        <horizontal/>
      </border>
    </dxf>
    <dxf>
      <font>
        <b/>
        <i val="0"/>
        <color theme="1" tint="4.9989318521683403E-2"/>
      </font>
      <border>
        <left style="thin">
          <color auto="1"/>
        </left>
        <right style="thin">
          <color auto="1"/>
        </right>
        <top style="thin">
          <color auto="1"/>
        </top>
        <bottom style="thin">
          <color auto="1"/>
        </bottom>
        <vertical/>
        <horizontal/>
      </border>
    </dxf>
    <dxf>
      <font>
        <b/>
        <i val="0"/>
        <color theme="1" tint="4.9989318521683403E-2"/>
      </font>
      <fill>
        <patternFill>
          <bgColor theme="9" tint="0.59996337778862885"/>
        </patternFill>
      </fill>
      <border>
        <left style="thin">
          <color auto="1"/>
        </left>
        <right style="thin">
          <color auto="1"/>
        </right>
        <top style="thin">
          <color auto="1"/>
        </top>
        <bottom style="thin">
          <color auto="1"/>
        </bottom>
        <vertical/>
        <horizontal/>
      </border>
    </dxf>
    <dxf>
      <font>
        <b/>
        <i val="0"/>
        <color theme="1" tint="4.9989318521683403E-2"/>
      </font>
      <border>
        <left style="thin">
          <color auto="1"/>
        </left>
        <right style="thin">
          <color auto="1"/>
        </right>
        <top style="thin">
          <color auto="1"/>
        </top>
        <bottom style="thin">
          <color auto="1"/>
        </bottom>
        <vertical/>
        <horizontal/>
      </border>
    </dxf>
    <dxf>
      <font>
        <b/>
        <i val="0"/>
        <color theme="1" tint="4.9989318521683403E-2"/>
      </font>
      <fill>
        <patternFill>
          <bgColor theme="9" tint="0.59996337778862885"/>
        </patternFill>
      </fill>
      <border>
        <left style="thin">
          <color auto="1"/>
        </left>
        <right style="thin">
          <color auto="1"/>
        </right>
        <top style="thin">
          <color auto="1"/>
        </top>
        <bottom style="thin">
          <color auto="1"/>
        </bottom>
        <vertical/>
        <horizontal/>
      </border>
    </dxf>
    <dxf>
      <font>
        <b/>
        <i val="0"/>
        <color theme="1" tint="4.9989318521683403E-2"/>
      </font>
      <border>
        <left style="thin">
          <color auto="1"/>
        </left>
        <right style="thin">
          <color auto="1"/>
        </right>
        <top style="thin">
          <color auto="1"/>
        </top>
        <bottom style="thin">
          <color auto="1"/>
        </bottom>
        <vertical/>
        <horizontal/>
      </border>
    </dxf>
    <dxf>
      <font>
        <b/>
        <i val="0"/>
        <color theme="1" tint="4.9989318521683403E-2"/>
      </font>
      <fill>
        <patternFill>
          <bgColor theme="9" tint="0.59996337778862885"/>
        </patternFill>
      </fill>
      <border>
        <left style="thin">
          <color auto="1"/>
        </left>
        <right style="thin">
          <color auto="1"/>
        </right>
        <top style="thin">
          <color auto="1"/>
        </top>
        <bottom style="thin">
          <color auto="1"/>
        </bottom>
        <vertical/>
        <horizontal/>
      </border>
    </dxf>
    <dxf>
      <font>
        <b val="0"/>
        <strike val="0"/>
        <outline val="0"/>
        <shadow val="0"/>
        <u val="none"/>
        <vertAlign val="baseline"/>
        <sz val="12"/>
        <color theme="1"/>
        <name val="Tw Cen MT"/>
        <family val="2"/>
        <scheme val="minor"/>
      </font>
      <numFmt numFmtId="170" formatCode="[$-F800]dddd\,\ mmmm\ dd\,\ yy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6"/>
        <color theme="1"/>
        <name val="Tw Cen MT"/>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strike val="0"/>
        <outline val="0"/>
        <shadow val="0"/>
        <u val="none"/>
        <vertAlign val="baseline"/>
        <sz val="16"/>
        <name val="Tw Cen M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protection locked="1" hidden="0"/>
    </dxf>
    <dxf>
      <font>
        <b val="0"/>
        <i val="0"/>
        <strike val="0"/>
        <outline val="0"/>
        <shadow val="0"/>
        <u val="none"/>
        <vertAlign val="baseline"/>
        <sz val="18"/>
        <color theme="1" tint="0.249977111117893"/>
        <name val="Tw Cen MT"/>
        <family val="2"/>
        <scheme val="minor"/>
      </font>
      <numFmt numFmtId="166" formatCode="0\ &quot;min&quo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indexed="64"/>
        </bottom>
      </border>
      <protection locked="0" hidden="0"/>
    </dxf>
    <dxf>
      <font>
        <b val="0"/>
        <i val="0"/>
        <strike val="0"/>
        <outline val="0"/>
        <shadow val="0"/>
        <u val="none"/>
        <vertAlign val="baseline"/>
        <sz val="18"/>
        <color theme="1" tint="0.249977111117893"/>
        <name val="Tw Cen MT"/>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indexed="64"/>
        </top>
        <bottom style="thin">
          <color indexed="64"/>
        </bottom>
      </border>
      <protection locked="0" hidden="0"/>
    </dxf>
    <dxf>
      <font>
        <b val="0"/>
        <i val="0"/>
        <strike val="0"/>
        <condense val="0"/>
        <extend val="0"/>
        <outline val="0"/>
        <shadow val="0"/>
        <u val="none"/>
        <vertAlign val="baseline"/>
        <sz val="18"/>
        <color theme="1" tint="0.249977111117893"/>
        <name val="Tw Cen MT"/>
        <family val="2"/>
        <scheme val="minor"/>
      </font>
      <numFmt numFmtId="166" formatCode="0\ &quot;min&quot;"/>
      <fill>
        <patternFill patternType="none">
          <fgColor indexed="64"/>
          <bgColor indexed="65"/>
        </patternFill>
      </fill>
      <alignment horizontal="center" vertical="center" textRotation="0" wrapText="1" indent="0" justifyLastLine="0" shrinkToFit="0" readingOrder="0"/>
      <border diagonalUp="0" diagonalDown="0" outline="0">
        <left style="thin">
          <color auto="1"/>
        </left>
        <right style="thin">
          <color auto="1"/>
        </right>
        <top style="thin">
          <color indexed="64"/>
        </top>
        <bottom style="thin">
          <color indexed="64"/>
        </bottom>
      </border>
      <protection locked="0" hidden="0"/>
    </dxf>
    <dxf>
      <font>
        <b val="0"/>
        <i val="0"/>
        <strike val="0"/>
        <condense val="0"/>
        <extend val="0"/>
        <outline val="0"/>
        <shadow val="0"/>
        <u val="none"/>
        <vertAlign val="baseline"/>
        <sz val="18"/>
        <color theme="1" tint="0.249977111117893"/>
        <name val="Tw Cen MT"/>
        <family val="2"/>
        <scheme val="minor"/>
      </font>
      <numFmt numFmtId="168" formatCode="[h]&quot;h&quot;mm&quot;m&quot;;@"/>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auto="1"/>
        </right>
        <top style="thin">
          <color indexed="64"/>
        </top>
        <bottom style="thin">
          <color indexed="64"/>
        </bottom>
      </border>
      <protection locked="1" hidden="0"/>
    </dxf>
    <dxf>
      <font>
        <b val="0"/>
        <i val="0"/>
        <strike val="0"/>
        <outline val="0"/>
        <shadow val="0"/>
        <u val="none"/>
        <vertAlign val="baseline"/>
        <sz val="18"/>
        <color theme="1" tint="0.249977111117893"/>
        <name val="Tw Cen MT"/>
        <family val="2"/>
        <scheme val="minor"/>
      </font>
      <numFmt numFmtId="165" formatCode="[$-409]h:mm\ AM/PM;@"/>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auto="1"/>
        </right>
        <top style="thin">
          <color indexed="64"/>
        </top>
        <bottom style="thin">
          <color indexed="64"/>
        </bottom>
      </border>
      <protection locked="0" hidden="0"/>
    </dxf>
    <dxf>
      <font>
        <b val="0"/>
        <i val="0"/>
        <strike val="0"/>
        <outline val="0"/>
        <shadow val="0"/>
        <u val="none"/>
        <vertAlign val="baseline"/>
        <sz val="18"/>
        <color theme="1" tint="0.249977111117893"/>
        <name val="Tw Cen MT"/>
        <family val="2"/>
        <scheme val="minor"/>
      </font>
      <numFmt numFmtId="165" formatCode="[$-409]h:mm\ AM/PM;@"/>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auto="1"/>
        </right>
        <top style="thin">
          <color indexed="64"/>
        </top>
        <bottom style="thin">
          <color indexed="64"/>
        </bottom>
      </border>
      <protection locked="0" hidden="0"/>
    </dxf>
    <dxf>
      <font>
        <b val="0"/>
        <i val="0"/>
        <strike val="0"/>
        <outline val="0"/>
        <shadow val="0"/>
        <u val="none"/>
        <vertAlign val="baseline"/>
        <sz val="18"/>
        <color theme="1" tint="0.249977111117893"/>
        <name val="Tw Cen MT"/>
        <family val="2"/>
        <scheme val="minor"/>
      </font>
      <fill>
        <patternFill patternType="none">
          <fgColor indexed="64"/>
          <bgColor auto="1"/>
        </patternFill>
      </fill>
      <alignment horizontal="left" vertical="bottom" textRotation="0" wrapText="1" indent="0" justifyLastLine="0" shrinkToFit="0" readingOrder="0"/>
      <border diagonalUp="0" diagonalDown="0" outline="0">
        <left style="thin">
          <color auto="1"/>
        </left>
        <right style="thin">
          <color auto="1"/>
        </right>
        <top style="thin">
          <color indexed="64"/>
        </top>
        <bottom style="thin">
          <color indexed="64"/>
        </bottom>
      </border>
      <protection locked="0" hidden="0"/>
    </dxf>
    <dxf>
      <font>
        <b val="0"/>
        <i val="0"/>
        <strike val="0"/>
        <outline val="0"/>
        <shadow val="0"/>
        <u val="none"/>
        <vertAlign val="baseline"/>
        <sz val="18"/>
        <color theme="1" tint="0.249977111117893"/>
        <name val="Tw Cen MT"/>
        <family val="2"/>
        <scheme val="minor"/>
      </font>
      <numFmt numFmtId="164" formatCode="m/d/yy;@"/>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auto="1"/>
        </right>
        <top style="thin">
          <color indexed="64"/>
        </top>
        <bottom style="thin">
          <color indexed="64"/>
        </bottom>
      </border>
      <protection locked="1" hidden="0"/>
    </dxf>
    <dxf>
      <font>
        <b val="0"/>
        <i val="0"/>
        <strike val="0"/>
        <outline val="0"/>
        <shadow val="0"/>
        <u val="none"/>
        <vertAlign val="baseline"/>
        <sz val="18"/>
        <color theme="1" tint="0.249977111117893"/>
        <name val="Tw Cen MT"/>
        <family val="2"/>
        <scheme val="minor"/>
      </font>
      <numFmt numFmtId="1" formatCode="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auto="1"/>
        </right>
        <top style="thin">
          <color indexed="64"/>
        </top>
        <bottom style="thin">
          <color indexed="64"/>
        </bottom>
      </border>
      <protection locked="1" hidden="0"/>
    </dxf>
    <dxf>
      <font>
        <b val="0"/>
        <family val="2"/>
      </font>
      <border diagonalUp="0" diagonalDown="0">
        <left style="thin">
          <color indexed="64"/>
        </left>
        <right style="thin">
          <color indexed="64"/>
        </right>
        <top/>
        <bottom/>
      </border>
      <protection locked="0" hidden="0"/>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16"/>
        <name val="Tw Cen MT"/>
        <family val="2"/>
        <scheme val="minor"/>
      </font>
      <fill>
        <patternFill patternType="none">
          <fgColor indexed="64"/>
          <bgColor auto="1"/>
        </patternFill>
      </fill>
      <alignment horizontal="center" vertical="center" textRotation="0" wrapText="1" indent="0" justifyLastLine="0" shrinkToFit="0" readingOrder="0"/>
      <protection locked="1" hidden="0"/>
    </dxf>
    <dxf>
      <border>
        <bottom style="thin">
          <color indexed="64"/>
        </bottom>
      </border>
    </dxf>
    <dxf>
      <font>
        <strike val="0"/>
        <outline val="0"/>
        <shadow val="0"/>
        <u val="none"/>
        <vertAlign val="baseline"/>
        <sz val="16"/>
        <color theme="0"/>
        <name val="Tw Cen MT"/>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fill>
        <patternFill patternType="solid">
          <fgColor theme="4" tint="0.59996337778862885"/>
          <bgColor theme="5" tint="0.59996337778862885"/>
        </patternFill>
      </fill>
    </dxf>
    <dxf>
      <fill>
        <patternFill patternType="solid">
          <fgColor theme="4" tint="0.59996337778862885"/>
          <bgColor theme="5" tint="0.39994506668294322"/>
        </patternFill>
      </fill>
    </dxf>
    <dxf>
      <font>
        <b/>
        <i val="0"/>
        <color theme="1" tint="4.9989318521683403E-2"/>
      </font>
      <border>
        <vertical/>
        <horizontal/>
      </border>
    </dxf>
    <dxf>
      <font>
        <b/>
        <i val="0"/>
        <color theme="1" tint="4.9989318521683403E-2"/>
      </font>
      <border>
        <vertical/>
        <horizontal/>
      </border>
    </dxf>
    <dxf>
      <font>
        <b/>
        <i val="0"/>
        <color theme="1" tint="4.9989318521683403E-2"/>
      </font>
      <border>
        <vertical/>
        <horizontal/>
      </border>
    </dxf>
  </dxfs>
  <tableStyles count="0" defaultTableStyle="TableStyleMedium2" defaultPivotStyle="PivotStyleLight16"/>
  <colors>
    <mruColors>
      <color rgb="FFFFF3BB"/>
      <color rgb="FF00EF48"/>
      <color rgb="FF00C4B4"/>
      <color rgb="FF4091FF"/>
      <color rgb="FF9F8CFF"/>
      <color rgb="FF92421B"/>
      <color rgb="FF99FFBA"/>
      <color rgb="FFEF5055"/>
      <color rgb="FF002060"/>
      <color rgb="FFE4B30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[Semester1CompositionSpreadsheet.xlsm]Data!PivotTable9</c:name>
    <c:fmtId val="0"/>
  </c:pivotSource>
  <c:chart>
    <c:title>
      <c:tx>
        <c:rich>
          <a:bodyPr rot="0" spcFirstLastPara="1" vertOverflow="ellipsis" vert="horz" wrap="square" anchor="ctr" anchorCtr="1"/>
          <a:lstStyle/>
          <a:p>
            <a:pPr>
              <a:defRPr sz="3200" b="1" i="0" u="none" strike="noStrike" kern="1200" baseline="0">
                <a:solidFill>
                  <a:schemeClr val="dk1">
                    <a:lumMod val="65000"/>
                    <a:lumOff val="35000"/>
                  </a:schemeClr>
                </a:solidFill>
                <a:latin typeface="+mn-lt"/>
                <a:ea typeface="+mn-ea"/>
                <a:cs typeface="+mn-cs"/>
              </a:defRPr>
            </a:pPr>
            <a:r>
              <a:rPr lang="en-US" sz="3200"/>
              <a:t>Total Focus time by discipline</a:t>
            </a:r>
          </a:p>
        </c:rich>
      </c:tx>
      <c:overlay val="0"/>
      <c:spPr>
        <a:noFill/>
        <a:ln>
          <a:noFill/>
        </a:ln>
        <a:effectLst/>
      </c:spPr>
      <c:txPr>
        <a:bodyPr rot="0" spcFirstLastPara="1" vertOverflow="ellipsis" vert="horz" wrap="square" anchor="ctr" anchorCtr="1"/>
        <a:lstStyle/>
        <a:p>
          <a:pPr>
            <a:defRPr sz="32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rgbClr val="FFF2BB"/>
          </a:solidFill>
          <a:ln>
            <a:noFill/>
          </a:ln>
          <a:effectLst>
            <a:outerShdw blurRad="317500" algn="ctr" rotWithShape="0">
              <a:prstClr val="black">
                <a:alpha val="25000"/>
              </a:prstClr>
            </a:outerShdw>
          </a:effectLst>
        </c:spPr>
      </c:pivotFmt>
      <c:pivotFmt>
        <c:idx val="2"/>
        <c:spPr>
          <a:solidFill>
            <a:srgbClr val="EF5056"/>
          </a:solidFill>
          <a:ln>
            <a:noFill/>
          </a:ln>
          <a:effectLst>
            <a:outerShdw blurRad="317500" algn="ctr" rotWithShape="0">
              <a:prstClr val="black">
                <a:alpha val="25000"/>
              </a:prstClr>
            </a:outerShdw>
          </a:effectLst>
        </c:spPr>
      </c:pivotFmt>
      <c:pivotFmt>
        <c:idx val="3"/>
        <c:spPr>
          <a:solidFill>
            <a:srgbClr val="99FFB9"/>
          </a:solidFill>
          <a:ln>
            <a:noFill/>
          </a:ln>
          <a:effectLst>
            <a:outerShdw blurRad="317500" algn="ctr" rotWithShape="0">
              <a:prstClr val="black">
                <a:alpha val="25000"/>
              </a:prstClr>
            </a:outerShdw>
          </a:effectLst>
        </c:spPr>
      </c:pivotFmt>
      <c:pivotFmt>
        <c:idx val="4"/>
        <c:spPr>
          <a:solidFill>
            <a:srgbClr val="4091FF"/>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7"/>
        <c:spPr>
          <a:solidFill>
            <a:srgbClr val="FFF2BB"/>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8"/>
        <c:spPr>
          <a:solidFill>
            <a:srgbClr val="EF5056"/>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9"/>
        <c:spPr>
          <a:solidFill>
            <a:srgbClr val="99FFB9"/>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rgbClr val="4091FF"/>
          </a:solidFill>
          <a:ln>
            <a:noFill/>
          </a:ln>
          <a:effectLst>
            <a:outerShdw blurRad="317500" algn="ctr" rotWithShape="0">
              <a:prstClr val="black">
                <a:alpha val="25000"/>
              </a:prstClr>
            </a:outerShdw>
          </a:effectLst>
        </c:spPr>
      </c:pivotFmt>
      <c:pivotFmt>
        <c:idx val="11"/>
        <c:spPr>
          <a:solidFill>
            <a:schemeClr val="bg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3"/>
        <c:spPr>
          <a:solidFill>
            <a:srgbClr val="FFF2BB"/>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4"/>
        <c:spPr>
          <a:solidFill>
            <a:srgbClr val="EF5056"/>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5"/>
        <c:spPr>
          <a:solidFill>
            <a:srgbClr val="99FFB9"/>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6"/>
        <c:spPr>
          <a:solidFill>
            <a:srgbClr val="4091FF"/>
          </a:solidFill>
          <a:ln>
            <a:noFill/>
          </a:ln>
          <a:effectLst>
            <a:outerShdw blurRad="317500" algn="ctr" rotWithShape="0">
              <a:prstClr val="black">
                <a:alpha val="25000"/>
              </a:prstClr>
            </a:outerShdw>
          </a:effectLst>
        </c:spPr>
      </c:pivotFmt>
      <c:pivotFmt>
        <c:idx val="17"/>
        <c:spPr>
          <a:solidFill>
            <a:schemeClr val="bg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19"/>
        <c:spPr>
          <a:solidFill>
            <a:srgbClr val="FFF2BB"/>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0"/>
        <c:spPr>
          <a:solidFill>
            <a:srgbClr val="EF5056"/>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1"/>
        <c:spPr>
          <a:solidFill>
            <a:srgbClr val="99FFB9"/>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2"/>
        <c:spPr>
          <a:solidFill>
            <a:srgbClr val="4091FF"/>
          </a:solidFill>
          <a:ln>
            <a:noFill/>
          </a:ln>
          <a:effectLst>
            <a:outerShdw blurRad="317500" algn="ctr" rotWithShape="0">
              <a:prstClr val="black">
                <a:alpha val="25000"/>
              </a:prstClr>
            </a:outerShdw>
          </a:effectLst>
        </c:spPr>
      </c:pivotFmt>
      <c:pivotFmt>
        <c:idx val="23"/>
        <c:spPr>
          <a:solidFill>
            <a:schemeClr val="accent1"/>
          </a:solidFill>
          <a:ln>
            <a:noFill/>
          </a:ln>
          <a:effectLst>
            <a:outerShdw blurRad="317500" algn="ctr" rotWithShape="0">
              <a:prstClr val="black">
                <a:alpha val="25000"/>
              </a:prstClr>
            </a:outerShdw>
          </a:effectLst>
        </c:spPr>
      </c:pivotFmt>
      <c:pivotFmt>
        <c:idx val="24"/>
        <c:spPr>
          <a:solidFill>
            <a:srgbClr val="85501F"/>
          </a:solidFill>
          <a:ln>
            <a:noFill/>
          </a:ln>
          <a:effectLst>
            <a:outerShdw blurRad="317500" algn="ctr" rotWithShape="0">
              <a:prstClr val="black">
                <a:alpha val="25000"/>
              </a:prstClr>
            </a:outerShdw>
          </a:effectLst>
        </c:spPr>
      </c:pivotFmt>
      <c:pivotFmt>
        <c:idx val="25"/>
        <c:spPr>
          <a:solidFill>
            <a:srgbClr val="9F8CFF"/>
          </a:solidFill>
          <a:ln>
            <a:noFill/>
          </a:ln>
          <a:effectLst>
            <a:outerShdw blurRad="317500" algn="ctr" rotWithShape="0">
              <a:prstClr val="black">
                <a:alpha val="25000"/>
              </a:prstClr>
            </a:outerShdw>
          </a:effectLst>
        </c:spPr>
      </c:pivotFmt>
      <c:pivotFmt>
        <c:idx val="2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extLst>
        </c:dLbl>
      </c:pivotFmt>
      <c:pivotFmt>
        <c:idx val="27"/>
        <c:spPr>
          <a:solidFill>
            <a:srgbClr val="FFF3BB"/>
          </a:solidFill>
          <a:ln>
            <a:noFill/>
          </a:ln>
          <a:effectLst>
            <a:outerShdw blurRad="317500" algn="ctr" rotWithShape="0">
              <a:prstClr val="black">
                <a:alpha val="25000"/>
              </a:prstClr>
            </a:outerShdw>
          </a:effectLst>
        </c:spPr>
        <c:dLbl>
          <c:idx val="0"/>
          <c:layout>
            <c:manualLayout>
              <c:x val="-0.16766326827737135"/>
              <c:y val="0.11432145288316459"/>
            </c:manualLayout>
          </c:layout>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28"/>
        <c:spPr>
          <a:solidFill>
            <a:srgbClr val="EF5055"/>
          </a:solidFill>
          <a:ln>
            <a:noFill/>
          </a:ln>
          <a:effectLst>
            <a:outerShdw blurRad="317500" algn="ctr" rotWithShape="0">
              <a:prstClr val="black">
                <a:alpha val="25000"/>
              </a:prstClr>
            </a:outerShdw>
          </a:effectLst>
        </c:spPr>
        <c:dLbl>
          <c:idx val="0"/>
          <c:layout>
            <c:manualLayout>
              <c:x val="-2.7773166520735845E-2"/>
              <c:y val="-0.17472071907642781"/>
            </c:manualLayout>
          </c:layout>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29"/>
        <c:spPr>
          <a:solidFill>
            <a:srgbClr val="99FFBA"/>
          </a:solidFill>
          <a:ln>
            <a:noFill/>
          </a:ln>
          <a:effectLst>
            <a:outerShdw blurRad="317500" algn="ctr" rotWithShape="0">
              <a:prstClr val="black">
                <a:alpha val="25000"/>
              </a:prstClr>
            </a:outerShdw>
          </a:effectLst>
        </c:spPr>
        <c:dLbl>
          <c:idx val="0"/>
          <c:layout>
            <c:manualLayout>
              <c:x val="0.19005651092472495"/>
              <c:y val="-4.1285980505557887E-2"/>
            </c:manualLayout>
          </c:layout>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30"/>
        <c:spPr>
          <a:solidFill>
            <a:srgbClr val="4091FF"/>
          </a:solidFill>
          <a:ln>
            <a:noFill/>
          </a:ln>
          <a:effectLst>
            <a:outerShdw blurRad="317500" algn="ctr" rotWithShape="0">
              <a:prstClr val="black">
                <a:alpha val="25000"/>
              </a:prstClr>
            </a:outerShdw>
          </a:effectLst>
        </c:spPr>
        <c:dLbl>
          <c:idx val="0"/>
          <c:layout>
            <c:manualLayout>
              <c:x val="7.5048093126545562E-2"/>
              <c:y val="0.14929916555119827"/>
            </c:manualLayout>
          </c:layout>
          <c:tx>
            <c:rich>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fld id="{4C3003E6-F185-D742-9C37-482540E7403B}" type="VALUE">
                  <a:rPr lang="en-US"/>
                  <a:pPr>
                    <a:defRPr sz="2800">
                      <a:solidFill>
                        <a:schemeClr val="tx1"/>
                      </a:solidFill>
                    </a:defRPr>
                  </a:pPr>
                  <a:t>[VALUE]</a:t>
                </a:fld>
                <a:r>
                  <a:rPr lang="en-US" baseline="0"/>
                  <a:t>, </a:t>
                </a:r>
              </a:p>
              <a:p>
                <a:pPr>
                  <a:defRPr sz="2800">
                    <a:solidFill>
                      <a:schemeClr val="tx1"/>
                    </a:solidFill>
                  </a:defRPr>
                </a:pPr>
                <a:fld id="{E8688A3F-0BC8-914B-966A-0435FB55EF21}" type="PERCENTAGE">
                  <a:rPr lang="en-US" baseline="0"/>
                  <a:pPr>
                    <a:defRPr sz="2800">
                      <a:solidFill>
                        <a:schemeClr val="tx1"/>
                      </a:solidFill>
                    </a:defRPr>
                  </a:pPr>
                  <a:t>[PERCENTAGE]</a:t>
                </a:fld>
                <a:endParaRPr lang="en-US"/>
              </a:p>
            </c:rich>
          </c:tx>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layout>
                <c:manualLayout>
                  <c:w val="9.1124075354012915E-2"/>
                  <c:h val="0.14612157213159635"/>
                </c:manualLayout>
              </c15:layout>
              <c15:dlblFieldTable/>
              <c15:showDataLabelsRange val="0"/>
            </c:ext>
          </c:extLst>
        </c:dLbl>
      </c:pivotFmt>
      <c:pivotFmt>
        <c:idx val="31"/>
        <c:spPr>
          <a:solidFill>
            <a:srgbClr val="92421B"/>
          </a:solidFill>
          <a:ln>
            <a:noFill/>
          </a:ln>
          <a:effectLst>
            <a:outerShdw blurRad="317500" algn="ctr" rotWithShape="0">
              <a:prstClr val="black">
                <a:alpha val="25000"/>
              </a:prstClr>
            </a:outerShdw>
          </a:effectLst>
        </c:spPr>
        <c:dLbl>
          <c:idx val="0"/>
          <c:layout>
            <c:manualLayout>
              <c:x val="6.8904479587357959E-2"/>
              <c:y val="0.1564908327365"/>
            </c:manualLayout>
          </c:layout>
          <c:tx>
            <c:rich>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fld id="{78434574-CDC3-1C47-9C8C-6BAF239E5399}" type="VALUE">
                  <a:rPr lang="en-US"/>
                  <a:pPr>
                    <a:defRPr sz="2800">
                      <a:solidFill>
                        <a:schemeClr val="tx1"/>
                      </a:solidFill>
                    </a:defRPr>
                  </a:pPr>
                  <a:t>[VALUE]</a:t>
                </a:fld>
                <a:r>
                  <a:rPr lang="en-US" baseline="0"/>
                  <a:t>, </a:t>
                </a:r>
              </a:p>
              <a:p>
                <a:pPr>
                  <a:defRPr sz="2800">
                    <a:solidFill>
                      <a:schemeClr val="tx1"/>
                    </a:solidFill>
                  </a:defRPr>
                </a:pPr>
                <a:fld id="{18194882-9322-494F-8DA9-14AF06927B77}" type="PERCENTAGE">
                  <a:rPr lang="en-US" baseline="0"/>
                  <a:pPr>
                    <a:defRPr sz="2800">
                      <a:solidFill>
                        <a:schemeClr val="tx1"/>
                      </a:solidFill>
                    </a:defRPr>
                  </a:pPr>
                  <a:t>[PERCENTAGE]</a:t>
                </a:fld>
                <a:endParaRPr lang="en-US"/>
              </a:p>
            </c:rich>
          </c:tx>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32"/>
        <c:spPr>
          <a:solidFill>
            <a:srgbClr val="9F8CFF"/>
          </a:solidFill>
          <a:ln>
            <a:noFill/>
          </a:ln>
          <a:effectLst>
            <a:outerShdw blurRad="317500" algn="ctr" rotWithShape="0">
              <a:prstClr val="black">
                <a:alpha val="25000"/>
              </a:prstClr>
            </a:outerShdw>
          </a:effectLst>
        </c:spPr>
        <c:dLbl>
          <c:idx val="0"/>
          <c:layout>
            <c:manualLayout>
              <c:x val="3.1249670227398087E-2"/>
              <c:y val="4.5514495069312745E-2"/>
            </c:manualLayout>
          </c:layout>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Data!$AZ$1</c:f>
              <c:strCache>
                <c:ptCount val="1"/>
                <c:pt idx="0">
                  <c:v>Total</c:v>
                </c:pt>
              </c:strCache>
            </c:strRef>
          </c:tx>
          <c:dPt>
            <c:idx val="0"/>
            <c:bubble3D val="0"/>
            <c:spPr>
              <a:solidFill>
                <a:srgbClr val="FFF3BB"/>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E75B-5A46-86B1-1D2E25C5C082}"/>
              </c:ext>
            </c:extLst>
          </c:dPt>
          <c:dPt>
            <c:idx val="1"/>
            <c:bubble3D val="0"/>
            <c:spPr>
              <a:solidFill>
                <a:srgbClr val="EF505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E75B-5A46-86B1-1D2E25C5C082}"/>
              </c:ext>
            </c:extLst>
          </c:dPt>
          <c:dPt>
            <c:idx val="2"/>
            <c:bubble3D val="0"/>
            <c:spPr>
              <a:solidFill>
                <a:srgbClr val="99FFBA"/>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E75B-5A46-86B1-1D2E25C5C082}"/>
              </c:ext>
            </c:extLst>
          </c:dPt>
          <c:dPt>
            <c:idx val="3"/>
            <c:bubble3D val="0"/>
            <c:spPr>
              <a:solidFill>
                <a:srgbClr val="4091FF"/>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E75B-5A46-86B1-1D2E25C5C082}"/>
              </c:ext>
            </c:extLst>
          </c:dPt>
          <c:dPt>
            <c:idx val="4"/>
            <c:bubble3D val="0"/>
            <c:spPr>
              <a:solidFill>
                <a:srgbClr val="92421B"/>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E75B-5A46-86B1-1D2E25C5C082}"/>
              </c:ext>
            </c:extLst>
          </c:dPt>
          <c:dPt>
            <c:idx val="5"/>
            <c:bubble3D val="0"/>
            <c:spPr>
              <a:solidFill>
                <a:srgbClr val="9F8CFF"/>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D65C-CE41-AD02-6C030D9D84B4}"/>
              </c:ext>
            </c:extLst>
          </c:dPt>
          <c:dLbls>
            <c:dLbl>
              <c:idx val="0"/>
              <c:layout>
                <c:manualLayout>
                  <c:x val="-0.16766326827737135"/>
                  <c:y val="0.11432145288316459"/>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75B-5A46-86B1-1D2E25C5C082}"/>
                </c:ext>
              </c:extLst>
            </c:dLbl>
            <c:dLbl>
              <c:idx val="1"/>
              <c:layout>
                <c:manualLayout>
                  <c:x val="-2.7773166520735845E-2"/>
                  <c:y val="-0.17472071907642781"/>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75B-5A46-86B1-1D2E25C5C082}"/>
                </c:ext>
              </c:extLst>
            </c:dLbl>
            <c:dLbl>
              <c:idx val="2"/>
              <c:layout>
                <c:manualLayout>
                  <c:x val="0.19005651092472495"/>
                  <c:y val="-4.1285980505557887E-2"/>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E75B-5A46-86B1-1D2E25C5C082}"/>
                </c:ext>
              </c:extLst>
            </c:dLbl>
            <c:dLbl>
              <c:idx val="3"/>
              <c:layout>
                <c:manualLayout>
                  <c:x val="7.5048093126545562E-2"/>
                  <c:y val="0.14929916555119827"/>
                </c:manualLayout>
              </c:layout>
              <c:tx>
                <c:rich>
                  <a:bodyPr/>
                  <a:lstStyle/>
                  <a:p>
                    <a:fld id="{4C3003E6-F185-D742-9C37-482540E7403B}" type="VALUE">
                      <a:rPr lang="en-US"/>
                      <a:pPr/>
                      <a:t>[VALUE]</a:t>
                    </a:fld>
                    <a:r>
                      <a:rPr lang="en-US" baseline="0"/>
                      <a:t>, </a:t>
                    </a:r>
                  </a:p>
                  <a:p>
                    <a:fld id="{E8688A3F-0BC8-914B-966A-0435FB55EF21}" type="PERCENTAGE">
                      <a:rPr lang="en-US" baseline="0"/>
                      <a:pPr/>
                      <a:t>[PERCENTAGE]</a:t>
                    </a:fld>
                    <a:endParaRPr lang="en-US"/>
                  </a:p>
                </c:rich>
              </c:tx>
              <c:dLblPos val="bestFit"/>
              <c:showLegendKey val="0"/>
              <c:showVal val="1"/>
              <c:showCatName val="0"/>
              <c:showSerName val="0"/>
              <c:showPercent val="1"/>
              <c:showBubbleSize val="0"/>
              <c:extLst>
                <c:ext xmlns:c15="http://schemas.microsoft.com/office/drawing/2012/chart" uri="{CE6537A1-D6FC-4f65-9D91-7224C49458BB}">
                  <c15:layout>
                    <c:manualLayout>
                      <c:w val="9.1124075354012915E-2"/>
                      <c:h val="0.14612157213159635"/>
                    </c:manualLayout>
                  </c15:layout>
                  <c15:dlblFieldTable/>
                  <c15:showDataLabelsRange val="0"/>
                </c:ext>
                <c:ext xmlns:c16="http://schemas.microsoft.com/office/drawing/2014/chart" uri="{C3380CC4-5D6E-409C-BE32-E72D297353CC}">
                  <c16:uniqueId val="{00000007-E75B-5A46-86B1-1D2E25C5C082}"/>
                </c:ext>
              </c:extLst>
            </c:dLbl>
            <c:dLbl>
              <c:idx val="4"/>
              <c:layout>
                <c:manualLayout>
                  <c:x val="6.8904479587357959E-2"/>
                  <c:y val="0.1564908327365"/>
                </c:manualLayout>
              </c:layout>
              <c:tx>
                <c:rich>
                  <a:bodyPr/>
                  <a:lstStyle/>
                  <a:p>
                    <a:fld id="{78434574-CDC3-1C47-9C8C-6BAF239E5399}" type="VALUE">
                      <a:rPr lang="en-US"/>
                      <a:pPr/>
                      <a:t>[VALUE]</a:t>
                    </a:fld>
                    <a:r>
                      <a:rPr lang="en-US" baseline="0"/>
                      <a:t>, </a:t>
                    </a:r>
                  </a:p>
                  <a:p>
                    <a:fld id="{18194882-9322-494F-8DA9-14AF06927B77}" type="PERCENTAGE">
                      <a:rPr lang="en-US" baseline="0"/>
                      <a:pPr/>
                      <a:t>[PERCENTAGE]</a:t>
                    </a:fld>
                    <a:endParaRPr lang="en-US"/>
                  </a:p>
                </c:rich>
              </c:tx>
              <c:dLblPos val="bestFit"/>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9-E75B-5A46-86B1-1D2E25C5C082}"/>
                </c:ext>
              </c:extLst>
            </c:dLbl>
            <c:dLbl>
              <c:idx val="5"/>
              <c:layout>
                <c:manualLayout>
                  <c:x val="3.1249670227398087E-2"/>
                  <c:y val="4.5514495069312745E-2"/>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B-D65C-CE41-AD02-6C030D9D84B4}"/>
                </c:ext>
              </c:extLst>
            </c:dLbl>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Data!$AY$2:$AY$8</c:f>
              <c:strCache>
                <c:ptCount val="6"/>
                <c:pt idx="0">
                  <c:v>Writing</c:v>
                </c:pt>
                <c:pt idx="1">
                  <c:v>Piano</c:v>
                </c:pt>
                <c:pt idx="2">
                  <c:v>Counterpoint</c:v>
                </c:pt>
                <c:pt idx="3">
                  <c:v>Analysis</c:v>
                </c:pt>
                <c:pt idx="4">
                  <c:v>Orchestration</c:v>
                </c:pt>
                <c:pt idx="5">
                  <c:v>Reading</c:v>
                </c:pt>
              </c:strCache>
            </c:strRef>
          </c:cat>
          <c:val>
            <c:numRef>
              <c:f>Data!$AZ$2:$AZ$8</c:f>
              <c:numCache>
                <c:formatCode>[h]"h"mm"m";@</c:formatCode>
                <c:ptCount val="6"/>
                <c:pt idx="0">
                  <c:v>1.6795949074074079</c:v>
                </c:pt>
                <c:pt idx="1">
                  <c:v>1.1881134259259261</c:v>
                </c:pt>
                <c:pt idx="2">
                  <c:v>1.109386574074074</c:v>
                </c:pt>
                <c:pt idx="3">
                  <c:v>0.37986111111111115</c:v>
                </c:pt>
                <c:pt idx="4">
                  <c:v>0.24422453703703709</c:v>
                </c:pt>
                <c:pt idx="5">
                  <c:v>0.13511574074074073</c:v>
                </c:pt>
              </c:numCache>
            </c:numRef>
          </c:val>
          <c:extLst>
            <c:ext xmlns:c16="http://schemas.microsoft.com/office/drawing/2014/chart" uri="{C3380CC4-5D6E-409C-BE32-E72D297353CC}">
              <c16:uniqueId val="{0000000A-E75B-5A46-86B1-1D2E25C5C082}"/>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egendEntry>
        <c:idx val="2"/>
        <c:txPr>
          <a:bodyPr rot="0" spcFirstLastPara="1" vertOverflow="ellipsis" vert="horz" wrap="square" anchor="ctr" anchorCtr="1"/>
          <a:lstStyle/>
          <a:p>
            <a:pPr>
              <a:defRPr sz="3200" b="0" i="0" u="none" strike="noStrike" kern="1200" baseline="0">
                <a:solidFill>
                  <a:schemeClr val="dk1">
                    <a:lumMod val="65000"/>
                    <a:lumOff val="35000"/>
                  </a:schemeClr>
                </a:solidFill>
                <a:latin typeface="+mn-lt"/>
                <a:ea typeface="+mn-ea"/>
                <a:cs typeface="+mn-cs"/>
              </a:defRPr>
            </a:pPr>
            <a:endParaRPr lang="en-US"/>
          </a:p>
        </c:txPr>
      </c:legendEntry>
      <c:layout>
        <c:manualLayout>
          <c:xMode val="edge"/>
          <c:yMode val="edge"/>
          <c:x val="0.72525274625744918"/>
          <c:y val="0.16192225671055305"/>
          <c:w val="0.26041212340660153"/>
          <c:h val="0.68169940394025563"/>
        </c:manualLayout>
      </c:layout>
      <c:overlay val="0"/>
      <c:spPr>
        <a:solidFill>
          <a:schemeClr val="lt1">
            <a:alpha val="78000"/>
          </a:schemeClr>
        </a:solidFill>
        <a:ln>
          <a:noFill/>
        </a:ln>
        <a:effectLst/>
      </c:spPr>
      <c:txPr>
        <a:bodyPr rot="0" spcFirstLastPara="1" vertOverflow="ellipsis" vert="horz" wrap="square" anchor="ctr" anchorCtr="1"/>
        <a:lstStyle/>
        <a:p>
          <a:pPr>
            <a:defRPr sz="32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chart>
  <c:spPr>
    <a:solidFill>
      <a:sysClr val="window" lastClr="FFFFFF"/>
    </a:solidFill>
    <a:ln w="9525" cap="flat" cmpd="sng" algn="ctr">
      <a:solidFill>
        <a:schemeClr val="dk1">
          <a:lumMod val="15000"/>
          <a:lumOff val="85000"/>
        </a:schemeClr>
      </a:solidFill>
      <a:round/>
    </a:ln>
    <a:effectLst/>
  </c:spPr>
  <c:txPr>
    <a:bodyPr/>
    <a:lstStyle/>
    <a:p>
      <a:pPr>
        <a:defRPr sz="20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[Semester1CompositionSpreadsheet.xlsm]Data!PivotTable3</c:name>
    <c:fmtId val="6"/>
  </c:pivotSource>
  <c:chart>
    <c:title>
      <c:tx>
        <c:rich>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r>
              <a:rPr lang="en-US" sz="3200"/>
              <a:t>Percentage of Focus time by</a:t>
            </a:r>
            <a:r>
              <a:rPr lang="en-US" sz="3200" baseline="0"/>
              <a:t> discipline across sessions</a:t>
            </a:r>
          </a:p>
        </c:rich>
      </c:tx>
      <c:overlay val="0"/>
      <c:spPr>
        <a:noFill/>
        <a:ln>
          <a:noFill/>
        </a:ln>
        <a:effectLst/>
      </c:spPr>
      <c:txPr>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F3B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F505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9FFB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4091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9F8C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421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2999286477712805E-2"/>
          <c:y val="0.11430773313316313"/>
          <c:w val="0.6637616560571078"/>
          <c:h val="0.81680963639666715"/>
        </c:manualLayout>
      </c:layout>
      <c:barChart>
        <c:barDir val="bar"/>
        <c:grouping val="percentStacked"/>
        <c:varyColors val="0"/>
        <c:ser>
          <c:idx val="0"/>
          <c:order val="0"/>
          <c:tx>
            <c:strRef>
              <c:f>Data!$AP$1:$AP$2</c:f>
              <c:strCache>
                <c:ptCount val="1"/>
                <c:pt idx="0">
                  <c:v>Writing</c:v>
                </c:pt>
              </c:strCache>
            </c:strRef>
          </c:tx>
          <c:spPr>
            <a:solidFill>
              <a:srgbClr val="FFF3BB"/>
            </a:solidFill>
            <a:ln>
              <a:noFill/>
            </a:ln>
            <a:effectLst/>
          </c:spPr>
          <c:invertIfNegative val="0"/>
          <c:cat>
            <c:multiLvlStrRef>
              <c:f>Data!$AO$3:$AO$30</c:f>
              <c:multiLvlStrCache>
                <c:ptCount val="14"/>
                <c:lvl>
                  <c:pt idx="0">
                    <c:v>Feb</c:v>
                  </c:pt>
                  <c:pt idx="1">
                    <c:v>Feb</c:v>
                  </c:pt>
                  <c:pt idx="2">
                    <c:v>Feb</c:v>
                  </c:pt>
                  <c:pt idx="3">
                    <c:v>Mar</c:v>
                  </c:pt>
                  <c:pt idx="4">
                    <c:v>Mar</c:v>
                  </c:pt>
                  <c:pt idx="5">
                    <c:v>Mar</c:v>
                  </c:pt>
                  <c:pt idx="6">
                    <c:v>Mar</c:v>
                  </c:pt>
                  <c:pt idx="7">
                    <c:v>Mar</c:v>
                  </c:pt>
                  <c:pt idx="8">
                    <c:v>Mar</c:v>
                  </c:pt>
                  <c:pt idx="9">
                    <c:v>Mar</c:v>
                  </c:pt>
                  <c:pt idx="10">
                    <c:v>Mar</c:v>
                  </c:pt>
                  <c:pt idx="11">
                    <c:v>Mar</c:v>
                  </c:pt>
                  <c:pt idx="12">
                    <c:v>Apr</c:v>
                  </c:pt>
                  <c:pt idx="13">
                    <c:v>Apr</c:v>
                  </c:pt>
                </c:lvl>
                <c:lvl>
                  <c:pt idx="0">
                    <c:v>1</c:v>
                  </c:pt>
                  <c:pt idx="1">
                    <c:v>2</c:v>
                  </c:pt>
                  <c:pt idx="2">
                    <c:v>3</c:v>
                  </c:pt>
                  <c:pt idx="4">
                    <c:v>4</c:v>
                  </c:pt>
                  <c:pt idx="5">
                    <c:v>5</c:v>
                  </c:pt>
                  <c:pt idx="6">
                    <c:v>6</c:v>
                  </c:pt>
                  <c:pt idx="7">
                    <c:v>7</c:v>
                  </c:pt>
                  <c:pt idx="8">
                    <c:v>8</c:v>
                  </c:pt>
                  <c:pt idx="9">
                    <c:v>9</c:v>
                  </c:pt>
                  <c:pt idx="10">
                    <c:v>10</c:v>
                  </c:pt>
                  <c:pt idx="11">
                    <c:v>11</c:v>
                  </c:pt>
                  <c:pt idx="12">
                    <c:v>12</c:v>
                  </c:pt>
                  <c:pt idx="13">
                    <c:v>13</c:v>
                  </c:pt>
                </c:lvl>
              </c:multiLvlStrCache>
            </c:multiLvlStrRef>
          </c:cat>
          <c:val>
            <c:numRef>
              <c:f>Data!$AP$3:$AP$30</c:f>
              <c:numCache>
                <c:formatCode>General</c:formatCode>
                <c:ptCount val="14"/>
                <c:pt idx="0">
                  <c:v>0.16442129629629629</c:v>
                </c:pt>
                <c:pt idx="1">
                  <c:v>2.0833333333333332E-2</c:v>
                </c:pt>
                <c:pt idx="2">
                  <c:v>8.1909722222222231E-2</c:v>
                </c:pt>
                <c:pt idx="3">
                  <c:v>7.6388888888888881E-2</c:v>
                </c:pt>
                <c:pt idx="4">
                  <c:v>0.14930555555555555</c:v>
                </c:pt>
                <c:pt idx="5">
                  <c:v>0.15179398148148149</c:v>
                </c:pt>
                <c:pt idx="6">
                  <c:v>7.7094907407407404E-2</c:v>
                </c:pt>
                <c:pt idx="7">
                  <c:v>0.17416666666666666</c:v>
                </c:pt>
                <c:pt idx="8">
                  <c:v>0.17210648148148147</c:v>
                </c:pt>
                <c:pt idx="9">
                  <c:v>0.17454861111111108</c:v>
                </c:pt>
                <c:pt idx="10">
                  <c:v>0.14023148148148148</c:v>
                </c:pt>
                <c:pt idx="11">
                  <c:v>0.1554861111111111</c:v>
                </c:pt>
                <c:pt idx="12">
                  <c:v>6.491898148148148E-2</c:v>
                </c:pt>
                <c:pt idx="13">
                  <c:v>7.6388888888888881E-2</c:v>
                </c:pt>
              </c:numCache>
            </c:numRef>
          </c:val>
          <c:extLst>
            <c:ext xmlns:c16="http://schemas.microsoft.com/office/drawing/2014/chart" uri="{C3380CC4-5D6E-409C-BE32-E72D297353CC}">
              <c16:uniqueId val="{00000000-39B9-AB41-8FF3-FA5E7EF44F10}"/>
            </c:ext>
          </c:extLst>
        </c:ser>
        <c:ser>
          <c:idx val="1"/>
          <c:order val="1"/>
          <c:tx>
            <c:strRef>
              <c:f>Data!$AQ$1:$AQ$2</c:f>
              <c:strCache>
                <c:ptCount val="1"/>
                <c:pt idx="0">
                  <c:v>Piano</c:v>
                </c:pt>
              </c:strCache>
            </c:strRef>
          </c:tx>
          <c:spPr>
            <a:solidFill>
              <a:srgbClr val="EF5055"/>
            </a:solidFill>
            <a:ln>
              <a:noFill/>
            </a:ln>
            <a:effectLst/>
          </c:spPr>
          <c:invertIfNegative val="0"/>
          <c:cat>
            <c:multiLvlStrRef>
              <c:f>Data!$AO$3:$AO$30</c:f>
              <c:multiLvlStrCache>
                <c:ptCount val="14"/>
                <c:lvl>
                  <c:pt idx="0">
                    <c:v>Feb</c:v>
                  </c:pt>
                  <c:pt idx="1">
                    <c:v>Feb</c:v>
                  </c:pt>
                  <c:pt idx="2">
                    <c:v>Feb</c:v>
                  </c:pt>
                  <c:pt idx="3">
                    <c:v>Mar</c:v>
                  </c:pt>
                  <c:pt idx="4">
                    <c:v>Mar</c:v>
                  </c:pt>
                  <c:pt idx="5">
                    <c:v>Mar</c:v>
                  </c:pt>
                  <c:pt idx="6">
                    <c:v>Mar</c:v>
                  </c:pt>
                  <c:pt idx="7">
                    <c:v>Mar</c:v>
                  </c:pt>
                  <c:pt idx="8">
                    <c:v>Mar</c:v>
                  </c:pt>
                  <c:pt idx="9">
                    <c:v>Mar</c:v>
                  </c:pt>
                  <c:pt idx="10">
                    <c:v>Mar</c:v>
                  </c:pt>
                  <c:pt idx="11">
                    <c:v>Mar</c:v>
                  </c:pt>
                  <c:pt idx="12">
                    <c:v>Apr</c:v>
                  </c:pt>
                  <c:pt idx="13">
                    <c:v>Apr</c:v>
                  </c:pt>
                </c:lvl>
                <c:lvl>
                  <c:pt idx="0">
                    <c:v>1</c:v>
                  </c:pt>
                  <c:pt idx="1">
                    <c:v>2</c:v>
                  </c:pt>
                  <c:pt idx="2">
                    <c:v>3</c:v>
                  </c:pt>
                  <c:pt idx="4">
                    <c:v>4</c:v>
                  </c:pt>
                  <c:pt idx="5">
                    <c:v>5</c:v>
                  </c:pt>
                  <c:pt idx="6">
                    <c:v>6</c:v>
                  </c:pt>
                  <c:pt idx="7">
                    <c:v>7</c:v>
                  </c:pt>
                  <c:pt idx="8">
                    <c:v>8</c:v>
                  </c:pt>
                  <c:pt idx="9">
                    <c:v>9</c:v>
                  </c:pt>
                  <c:pt idx="10">
                    <c:v>10</c:v>
                  </c:pt>
                  <c:pt idx="11">
                    <c:v>11</c:v>
                  </c:pt>
                  <c:pt idx="12">
                    <c:v>12</c:v>
                  </c:pt>
                  <c:pt idx="13">
                    <c:v>13</c:v>
                  </c:pt>
                </c:lvl>
              </c:multiLvlStrCache>
            </c:multiLvlStrRef>
          </c:cat>
          <c:val>
            <c:numRef>
              <c:f>Data!$AQ$3:$AQ$30</c:f>
              <c:numCache>
                <c:formatCode>General</c:formatCode>
                <c:ptCount val="14"/>
                <c:pt idx="0">
                  <c:v>0.15717592592592591</c:v>
                </c:pt>
                <c:pt idx="1">
                  <c:v>4.4641203703703711E-2</c:v>
                </c:pt>
                <c:pt idx="2">
                  <c:v>0.10122685185185186</c:v>
                </c:pt>
                <c:pt idx="4">
                  <c:v>0.14305555555555555</c:v>
                </c:pt>
                <c:pt idx="5">
                  <c:v>4.175925925925926E-2</c:v>
                </c:pt>
                <c:pt idx="6">
                  <c:v>0.15694444444444444</c:v>
                </c:pt>
                <c:pt idx="7">
                  <c:v>7.1527777777777773E-2</c:v>
                </c:pt>
                <c:pt idx="8">
                  <c:v>6.3784722222222229E-2</c:v>
                </c:pt>
                <c:pt idx="9">
                  <c:v>8.6805555555555552E-2</c:v>
                </c:pt>
                <c:pt idx="10">
                  <c:v>6.2303240740740742E-2</c:v>
                </c:pt>
                <c:pt idx="11">
                  <c:v>9.6956018518518511E-2</c:v>
                </c:pt>
                <c:pt idx="13">
                  <c:v>0.16193287037037038</c:v>
                </c:pt>
              </c:numCache>
            </c:numRef>
          </c:val>
          <c:extLst>
            <c:ext xmlns:c16="http://schemas.microsoft.com/office/drawing/2014/chart" uri="{C3380CC4-5D6E-409C-BE32-E72D297353CC}">
              <c16:uniqueId val="{00000001-39B9-AB41-8FF3-FA5E7EF44F10}"/>
            </c:ext>
          </c:extLst>
        </c:ser>
        <c:ser>
          <c:idx val="3"/>
          <c:order val="3"/>
          <c:tx>
            <c:strRef>
              <c:f>Data!$AS$1:$AS$2</c:f>
              <c:strCache>
                <c:ptCount val="1"/>
                <c:pt idx="0">
                  <c:v>Analysis</c:v>
                </c:pt>
              </c:strCache>
            </c:strRef>
          </c:tx>
          <c:spPr>
            <a:solidFill>
              <a:srgbClr val="4091FF"/>
            </a:solidFill>
            <a:ln>
              <a:noFill/>
            </a:ln>
            <a:effectLst/>
          </c:spPr>
          <c:invertIfNegative val="0"/>
          <c:cat>
            <c:multiLvlStrRef>
              <c:f>Data!$AO$3:$AO$30</c:f>
              <c:multiLvlStrCache>
                <c:ptCount val="14"/>
                <c:lvl>
                  <c:pt idx="0">
                    <c:v>Feb</c:v>
                  </c:pt>
                  <c:pt idx="1">
                    <c:v>Feb</c:v>
                  </c:pt>
                  <c:pt idx="2">
                    <c:v>Feb</c:v>
                  </c:pt>
                  <c:pt idx="3">
                    <c:v>Mar</c:v>
                  </c:pt>
                  <c:pt idx="4">
                    <c:v>Mar</c:v>
                  </c:pt>
                  <c:pt idx="5">
                    <c:v>Mar</c:v>
                  </c:pt>
                  <c:pt idx="6">
                    <c:v>Mar</c:v>
                  </c:pt>
                  <c:pt idx="7">
                    <c:v>Mar</c:v>
                  </c:pt>
                  <c:pt idx="8">
                    <c:v>Mar</c:v>
                  </c:pt>
                  <c:pt idx="9">
                    <c:v>Mar</c:v>
                  </c:pt>
                  <c:pt idx="10">
                    <c:v>Mar</c:v>
                  </c:pt>
                  <c:pt idx="11">
                    <c:v>Mar</c:v>
                  </c:pt>
                  <c:pt idx="12">
                    <c:v>Apr</c:v>
                  </c:pt>
                  <c:pt idx="13">
                    <c:v>Apr</c:v>
                  </c:pt>
                </c:lvl>
                <c:lvl>
                  <c:pt idx="0">
                    <c:v>1</c:v>
                  </c:pt>
                  <c:pt idx="1">
                    <c:v>2</c:v>
                  </c:pt>
                  <c:pt idx="2">
                    <c:v>3</c:v>
                  </c:pt>
                  <c:pt idx="4">
                    <c:v>4</c:v>
                  </c:pt>
                  <c:pt idx="5">
                    <c:v>5</c:v>
                  </c:pt>
                  <c:pt idx="6">
                    <c:v>6</c:v>
                  </c:pt>
                  <c:pt idx="7">
                    <c:v>7</c:v>
                  </c:pt>
                  <c:pt idx="8">
                    <c:v>8</c:v>
                  </c:pt>
                  <c:pt idx="9">
                    <c:v>9</c:v>
                  </c:pt>
                  <c:pt idx="10">
                    <c:v>10</c:v>
                  </c:pt>
                  <c:pt idx="11">
                    <c:v>11</c:v>
                  </c:pt>
                  <c:pt idx="12">
                    <c:v>12</c:v>
                  </c:pt>
                  <c:pt idx="13">
                    <c:v>13</c:v>
                  </c:pt>
                </c:lvl>
              </c:multiLvlStrCache>
            </c:multiLvlStrRef>
          </c:cat>
          <c:val>
            <c:numRef>
              <c:f>Data!$AS$3:$AS$30</c:f>
              <c:numCache>
                <c:formatCode>General</c:formatCode>
                <c:ptCount val="14"/>
                <c:pt idx="0">
                  <c:v>4.8993055555555554E-2</c:v>
                </c:pt>
                <c:pt idx="4">
                  <c:v>3.125E-2</c:v>
                </c:pt>
                <c:pt idx="5">
                  <c:v>1.6759259259259258E-2</c:v>
                </c:pt>
                <c:pt idx="6">
                  <c:v>1.6423611111111111E-2</c:v>
                </c:pt>
                <c:pt idx="7">
                  <c:v>1.3888888888888888E-2</c:v>
                </c:pt>
                <c:pt idx="8">
                  <c:v>2.2326388888888885E-2</c:v>
                </c:pt>
                <c:pt idx="9">
                  <c:v>3.5069444444444445E-2</c:v>
                </c:pt>
                <c:pt idx="10">
                  <c:v>4.6469907407407411E-2</c:v>
                </c:pt>
                <c:pt idx="11">
                  <c:v>4.8611111111111112E-2</c:v>
                </c:pt>
                <c:pt idx="13">
                  <c:v>0.10006944444444445</c:v>
                </c:pt>
              </c:numCache>
            </c:numRef>
          </c:val>
          <c:extLst>
            <c:ext xmlns:c16="http://schemas.microsoft.com/office/drawing/2014/chart" uri="{C3380CC4-5D6E-409C-BE32-E72D297353CC}">
              <c16:uniqueId val="{00000003-39B9-AB41-8FF3-FA5E7EF44F10}"/>
            </c:ext>
          </c:extLst>
        </c:ser>
        <c:ser>
          <c:idx val="4"/>
          <c:order val="4"/>
          <c:tx>
            <c:strRef>
              <c:f>Data!$AT$1:$AT$2</c:f>
              <c:strCache>
                <c:ptCount val="1"/>
                <c:pt idx="0">
                  <c:v>Reading</c:v>
                </c:pt>
              </c:strCache>
            </c:strRef>
          </c:tx>
          <c:spPr>
            <a:solidFill>
              <a:srgbClr val="9F8CFF"/>
            </a:solidFill>
            <a:ln>
              <a:noFill/>
            </a:ln>
            <a:effectLst/>
          </c:spPr>
          <c:invertIfNegative val="0"/>
          <c:cat>
            <c:multiLvlStrRef>
              <c:f>Data!$AO$3:$AO$30</c:f>
              <c:multiLvlStrCache>
                <c:ptCount val="14"/>
                <c:lvl>
                  <c:pt idx="0">
                    <c:v>Feb</c:v>
                  </c:pt>
                  <c:pt idx="1">
                    <c:v>Feb</c:v>
                  </c:pt>
                  <c:pt idx="2">
                    <c:v>Feb</c:v>
                  </c:pt>
                  <c:pt idx="3">
                    <c:v>Mar</c:v>
                  </c:pt>
                  <c:pt idx="4">
                    <c:v>Mar</c:v>
                  </c:pt>
                  <c:pt idx="5">
                    <c:v>Mar</c:v>
                  </c:pt>
                  <c:pt idx="6">
                    <c:v>Mar</c:v>
                  </c:pt>
                  <c:pt idx="7">
                    <c:v>Mar</c:v>
                  </c:pt>
                  <c:pt idx="8">
                    <c:v>Mar</c:v>
                  </c:pt>
                  <c:pt idx="9">
                    <c:v>Mar</c:v>
                  </c:pt>
                  <c:pt idx="10">
                    <c:v>Mar</c:v>
                  </c:pt>
                  <c:pt idx="11">
                    <c:v>Mar</c:v>
                  </c:pt>
                  <c:pt idx="12">
                    <c:v>Apr</c:v>
                  </c:pt>
                  <c:pt idx="13">
                    <c:v>Apr</c:v>
                  </c:pt>
                </c:lvl>
                <c:lvl>
                  <c:pt idx="0">
                    <c:v>1</c:v>
                  </c:pt>
                  <c:pt idx="1">
                    <c:v>2</c:v>
                  </c:pt>
                  <c:pt idx="2">
                    <c:v>3</c:v>
                  </c:pt>
                  <c:pt idx="4">
                    <c:v>4</c:v>
                  </c:pt>
                  <c:pt idx="5">
                    <c:v>5</c:v>
                  </c:pt>
                  <c:pt idx="6">
                    <c:v>6</c:v>
                  </c:pt>
                  <c:pt idx="7">
                    <c:v>7</c:v>
                  </c:pt>
                  <c:pt idx="8">
                    <c:v>8</c:v>
                  </c:pt>
                  <c:pt idx="9">
                    <c:v>9</c:v>
                  </c:pt>
                  <c:pt idx="10">
                    <c:v>10</c:v>
                  </c:pt>
                  <c:pt idx="11">
                    <c:v>11</c:v>
                  </c:pt>
                  <c:pt idx="12">
                    <c:v>12</c:v>
                  </c:pt>
                  <c:pt idx="13">
                    <c:v>13</c:v>
                  </c:pt>
                </c:lvl>
              </c:multiLvlStrCache>
            </c:multiLvlStrRef>
          </c:cat>
          <c:val>
            <c:numRef>
              <c:f>Data!$AT$3:$AT$30</c:f>
              <c:numCache>
                <c:formatCode>General</c:formatCode>
                <c:ptCount val="14"/>
                <c:pt idx="5">
                  <c:v>1.1932870370370371E-2</c:v>
                </c:pt>
                <c:pt idx="6">
                  <c:v>2.0856481481481479E-2</c:v>
                </c:pt>
                <c:pt idx="8">
                  <c:v>3.0011574074074076E-2</c:v>
                </c:pt>
                <c:pt idx="10">
                  <c:v>7.2314814814814818E-2</c:v>
                </c:pt>
              </c:numCache>
            </c:numRef>
          </c:val>
          <c:extLst>
            <c:ext xmlns:c16="http://schemas.microsoft.com/office/drawing/2014/chart" uri="{C3380CC4-5D6E-409C-BE32-E72D297353CC}">
              <c16:uniqueId val="{00000004-39B9-AB41-8FF3-FA5E7EF44F10}"/>
            </c:ext>
          </c:extLst>
        </c:ser>
        <c:ser>
          <c:idx val="5"/>
          <c:order val="5"/>
          <c:tx>
            <c:strRef>
              <c:f>Data!$AU$1:$AU$2</c:f>
              <c:strCache>
                <c:ptCount val="1"/>
                <c:pt idx="0">
                  <c:v>Orchestration</c:v>
                </c:pt>
              </c:strCache>
            </c:strRef>
          </c:tx>
          <c:spPr>
            <a:solidFill>
              <a:srgbClr val="92421B"/>
            </a:solidFill>
            <a:ln>
              <a:noFill/>
            </a:ln>
            <a:effectLst/>
          </c:spPr>
          <c:invertIfNegative val="0"/>
          <c:cat>
            <c:multiLvlStrRef>
              <c:f>Data!$AO$3:$AO$30</c:f>
              <c:multiLvlStrCache>
                <c:ptCount val="14"/>
                <c:lvl>
                  <c:pt idx="0">
                    <c:v>Feb</c:v>
                  </c:pt>
                  <c:pt idx="1">
                    <c:v>Feb</c:v>
                  </c:pt>
                  <c:pt idx="2">
                    <c:v>Feb</c:v>
                  </c:pt>
                  <c:pt idx="3">
                    <c:v>Mar</c:v>
                  </c:pt>
                  <c:pt idx="4">
                    <c:v>Mar</c:v>
                  </c:pt>
                  <c:pt idx="5">
                    <c:v>Mar</c:v>
                  </c:pt>
                  <c:pt idx="6">
                    <c:v>Mar</c:v>
                  </c:pt>
                  <c:pt idx="7">
                    <c:v>Mar</c:v>
                  </c:pt>
                  <c:pt idx="8">
                    <c:v>Mar</c:v>
                  </c:pt>
                  <c:pt idx="9">
                    <c:v>Mar</c:v>
                  </c:pt>
                  <c:pt idx="10">
                    <c:v>Mar</c:v>
                  </c:pt>
                  <c:pt idx="11">
                    <c:v>Mar</c:v>
                  </c:pt>
                  <c:pt idx="12">
                    <c:v>Apr</c:v>
                  </c:pt>
                  <c:pt idx="13">
                    <c:v>Apr</c:v>
                  </c:pt>
                </c:lvl>
                <c:lvl>
                  <c:pt idx="0">
                    <c:v>1</c:v>
                  </c:pt>
                  <c:pt idx="1">
                    <c:v>2</c:v>
                  </c:pt>
                  <c:pt idx="2">
                    <c:v>3</c:v>
                  </c:pt>
                  <c:pt idx="4">
                    <c:v>4</c:v>
                  </c:pt>
                  <c:pt idx="5">
                    <c:v>5</c:v>
                  </c:pt>
                  <c:pt idx="6">
                    <c:v>6</c:v>
                  </c:pt>
                  <c:pt idx="7">
                    <c:v>7</c:v>
                  </c:pt>
                  <c:pt idx="8">
                    <c:v>8</c:v>
                  </c:pt>
                  <c:pt idx="9">
                    <c:v>9</c:v>
                  </c:pt>
                  <c:pt idx="10">
                    <c:v>10</c:v>
                  </c:pt>
                  <c:pt idx="11">
                    <c:v>11</c:v>
                  </c:pt>
                  <c:pt idx="12">
                    <c:v>12</c:v>
                  </c:pt>
                  <c:pt idx="13">
                    <c:v>13</c:v>
                  </c:pt>
                </c:lvl>
              </c:multiLvlStrCache>
            </c:multiLvlStrRef>
          </c:cat>
          <c:val>
            <c:numRef>
              <c:f>Data!$AU$3:$AU$30</c:f>
              <c:numCache>
                <c:formatCode>General</c:formatCode>
                <c:ptCount val="14"/>
                <c:pt idx="2">
                  <c:v>1.3888888888888888E-2</c:v>
                </c:pt>
                <c:pt idx="4">
                  <c:v>3.125E-2</c:v>
                </c:pt>
                <c:pt idx="6">
                  <c:v>4.0277777777777773E-2</c:v>
                </c:pt>
                <c:pt idx="7">
                  <c:v>3.4722222222222224E-2</c:v>
                </c:pt>
                <c:pt idx="8">
                  <c:v>1.6666666666666666E-2</c:v>
                </c:pt>
                <c:pt idx="9">
                  <c:v>2.4305555555555556E-2</c:v>
                </c:pt>
                <c:pt idx="10">
                  <c:v>5.9282407407407409E-2</c:v>
                </c:pt>
                <c:pt idx="13">
                  <c:v>2.3831018518518519E-2</c:v>
                </c:pt>
              </c:numCache>
            </c:numRef>
          </c:val>
          <c:extLst>
            <c:ext xmlns:c16="http://schemas.microsoft.com/office/drawing/2014/chart" uri="{C3380CC4-5D6E-409C-BE32-E72D297353CC}">
              <c16:uniqueId val="{00000005-39B9-AB41-8FF3-FA5E7EF44F10}"/>
            </c:ext>
          </c:extLst>
        </c:ser>
        <c:ser>
          <c:idx val="2"/>
          <c:order val="2"/>
          <c:tx>
            <c:strRef>
              <c:f>Data!$AR$1:$AR$2</c:f>
              <c:strCache>
                <c:ptCount val="1"/>
                <c:pt idx="0">
                  <c:v>Counterpoint</c:v>
                </c:pt>
              </c:strCache>
            </c:strRef>
          </c:tx>
          <c:spPr>
            <a:solidFill>
              <a:srgbClr val="99FFBA"/>
            </a:solidFill>
            <a:ln>
              <a:noFill/>
            </a:ln>
            <a:effectLst/>
          </c:spPr>
          <c:invertIfNegative val="0"/>
          <c:cat>
            <c:multiLvlStrRef>
              <c:f>Data!$AO$3:$AO$30</c:f>
              <c:multiLvlStrCache>
                <c:ptCount val="14"/>
                <c:lvl>
                  <c:pt idx="0">
                    <c:v>Feb</c:v>
                  </c:pt>
                  <c:pt idx="1">
                    <c:v>Feb</c:v>
                  </c:pt>
                  <c:pt idx="2">
                    <c:v>Feb</c:v>
                  </c:pt>
                  <c:pt idx="3">
                    <c:v>Mar</c:v>
                  </c:pt>
                  <c:pt idx="4">
                    <c:v>Mar</c:v>
                  </c:pt>
                  <c:pt idx="5">
                    <c:v>Mar</c:v>
                  </c:pt>
                  <c:pt idx="6">
                    <c:v>Mar</c:v>
                  </c:pt>
                  <c:pt idx="7">
                    <c:v>Mar</c:v>
                  </c:pt>
                  <c:pt idx="8">
                    <c:v>Mar</c:v>
                  </c:pt>
                  <c:pt idx="9">
                    <c:v>Mar</c:v>
                  </c:pt>
                  <c:pt idx="10">
                    <c:v>Mar</c:v>
                  </c:pt>
                  <c:pt idx="11">
                    <c:v>Mar</c:v>
                  </c:pt>
                  <c:pt idx="12">
                    <c:v>Apr</c:v>
                  </c:pt>
                  <c:pt idx="13">
                    <c:v>Apr</c:v>
                  </c:pt>
                </c:lvl>
                <c:lvl>
                  <c:pt idx="0">
                    <c:v>1</c:v>
                  </c:pt>
                  <c:pt idx="1">
                    <c:v>2</c:v>
                  </c:pt>
                  <c:pt idx="2">
                    <c:v>3</c:v>
                  </c:pt>
                  <c:pt idx="4">
                    <c:v>4</c:v>
                  </c:pt>
                  <c:pt idx="5">
                    <c:v>5</c:v>
                  </c:pt>
                  <c:pt idx="6">
                    <c:v>6</c:v>
                  </c:pt>
                  <c:pt idx="7">
                    <c:v>7</c:v>
                  </c:pt>
                  <c:pt idx="8">
                    <c:v>8</c:v>
                  </c:pt>
                  <c:pt idx="9">
                    <c:v>9</c:v>
                  </c:pt>
                  <c:pt idx="10">
                    <c:v>10</c:v>
                  </c:pt>
                  <c:pt idx="11">
                    <c:v>11</c:v>
                  </c:pt>
                  <c:pt idx="12">
                    <c:v>12</c:v>
                  </c:pt>
                  <c:pt idx="13">
                    <c:v>13</c:v>
                  </c:pt>
                </c:lvl>
              </c:multiLvlStrCache>
            </c:multiLvlStrRef>
          </c:cat>
          <c:val>
            <c:numRef>
              <c:f>Data!$AR$3:$AR$30</c:f>
              <c:numCache>
                <c:formatCode>General</c:formatCode>
                <c:ptCount val="14"/>
                <c:pt idx="0">
                  <c:v>7.8090277777777772E-2</c:v>
                </c:pt>
                <c:pt idx="1">
                  <c:v>9.6388888888888899E-2</c:v>
                </c:pt>
                <c:pt idx="2">
                  <c:v>0.13437500000000002</c:v>
                </c:pt>
                <c:pt idx="4">
                  <c:v>0.1448726851851852</c:v>
                </c:pt>
                <c:pt idx="5">
                  <c:v>6.3379629629629633E-2</c:v>
                </c:pt>
                <c:pt idx="6">
                  <c:v>0.10496527777777777</c:v>
                </c:pt>
                <c:pt idx="7">
                  <c:v>4.8078703703703707E-2</c:v>
                </c:pt>
                <c:pt idx="8">
                  <c:v>0.17354166666666665</c:v>
                </c:pt>
                <c:pt idx="9">
                  <c:v>6.6932870370370379E-2</c:v>
                </c:pt>
                <c:pt idx="11">
                  <c:v>7.239583333333334E-2</c:v>
                </c:pt>
                <c:pt idx="12">
                  <c:v>2.4305555555555556E-2</c:v>
                </c:pt>
                <c:pt idx="13">
                  <c:v>0.10206018518518518</c:v>
                </c:pt>
              </c:numCache>
            </c:numRef>
          </c:val>
          <c:extLst>
            <c:ext xmlns:c16="http://schemas.microsoft.com/office/drawing/2014/chart" uri="{C3380CC4-5D6E-409C-BE32-E72D297353CC}">
              <c16:uniqueId val="{00000002-39B9-AB41-8FF3-FA5E7EF44F10}"/>
            </c:ext>
          </c:extLst>
        </c:ser>
        <c:dLbls>
          <c:showLegendKey val="0"/>
          <c:showVal val="0"/>
          <c:showCatName val="0"/>
          <c:showSerName val="0"/>
          <c:showPercent val="0"/>
          <c:showBubbleSize val="0"/>
        </c:dLbls>
        <c:gapWidth val="150"/>
        <c:overlap val="100"/>
        <c:axId val="430130543"/>
        <c:axId val="430844191"/>
      </c:barChart>
      <c:catAx>
        <c:axId val="43013054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430844191"/>
        <c:crosses val="autoZero"/>
        <c:auto val="1"/>
        <c:lblAlgn val="ctr"/>
        <c:lblOffset val="100"/>
        <c:noMultiLvlLbl val="0"/>
      </c:catAx>
      <c:valAx>
        <c:axId val="430844191"/>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430130543"/>
        <c:crosses val="autoZero"/>
        <c:crossBetween val="between"/>
      </c:valAx>
      <c:spPr>
        <a:noFill/>
        <a:ln>
          <a:noFill/>
        </a:ln>
        <a:effectLst/>
      </c:spPr>
    </c:plotArea>
    <c:legend>
      <c:legendPos val="r"/>
      <c:layout>
        <c:manualLayout>
          <c:xMode val="edge"/>
          <c:yMode val="edge"/>
          <c:x val="0.76556795842045067"/>
          <c:y val="0.26891213741373771"/>
          <c:w val="0.2063526906050043"/>
          <c:h val="0.56189409633016008"/>
        </c:manualLayout>
      </c:layout>
      <c:overlay val="0"/>
      <c:spPr>
        <a:noFill/>
        <a:ln>
          <a:noFill/>
        </a:ln>
        <a:effectLst/>
      </c:spPr>
      <c:txPr>
        <a:bodyPr rot="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[Semester1CompositionSpreadsheet.xlsm]Data!PivotTable3</c:name>
    <c:fmtId val="7"/>
  </c:pivotSource>
  <c:chart>
    <c:title>
      <c:tx>
        <c:rich>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r>
              <a:rPr lang="en-US" sz="3200"/>
              <a:t>Focused time by discipline across sessions</a:t>
            </a:r>
          </a:p>
        </c:rich>
      </c:tx>
      <c:overlay val="0"/>
      <c:spPr>
        <a:noFill/>
        <a:ln>
          <a:noFill/>
        </a:ln>
        <a:effectLst/>
      </c:spPr>
      <c:txPr>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F3B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F505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9FFB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4091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9F8C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421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689617178617067E-2"/>
          <c:y val="8.4778445822601953E-2"/>
          <c:w val="0.66835563998792735"/>
          <c:h val="0.79196597856345308"/>
        </c:manualLayout>
      </c:layout>
      <c:barChart>
        <c:barDir val="bar"/>
        <c:grouping val="stacked"/>
        <c:varyColors val="0"/>
        <c:ser>
          <c:idx val="0"/>
          <c:order val="0"/>
          <c:tx>
            <c:strRef>
              <c:f>Data!$AP$1:$AP$2</c:f>
              <c:strCache>
                <c:ptCount val="1"/>
                <c:pt idx="0">
                  <c:v>Writing</c:v>
                </c:pt>
              </c:strCache>
            </c:strRef>
          </c:tx>
          <c:spPr>
            <a:solidFill>
              <a:srgbClr val="FFF3BB"/>
            </a:solidFill>
            <a:ln>
              <a:noFill/>
            </a:ln>
            <a:effectLst/>
          </c:spPr>
          <c:invertIfNegative val="0"/>
          <c:cat>
            <c:multiLvlStrRef>
              <c:f>Data!$AO$3:$AO$30</c:f>
              <c:multiLvlStrCache>
                <c:ptCount val="14"/>
                <c:lvl>
                  <c:pt idx="0">
                    <c:v>Feb</c:v>
                  </c:pt>
                  <c:pt idx="1">
                    <c:v>Feb</c:v>
                  </c:pt>
                  <c:pt idx="2">
                    <c:v>Feb</c:v>
                  </c:pt>
                  <c:pt idx="3">
                    <c:v>Mar</c:v>
                  </c:pt>
                  <c:pt idx="4">
                    <c:v>Mar</c:v>
                  </c:pt>
                  <c:pt idx="5">
                    <c:v>Mar</c:v>
                  </c:pt>
                  <c:pt idx="6">
                    <c:v>Mar</c:v>
                  </c:pt>
                  <c:pt idx="7">
                    <c:v>Mar</c:v>
                  </c:pt>
                  <c:pt idx="8">
                    <c:v>Mar</c:v>
                  </c:pt>
                  <c:pt idx="9">
                    <c:v>Mar</c:v>
                  </c:pt>
                  <c:pt idx="10">
                    <c:v>Mar</c:v>
                  </c:pt>
                  <c:pt idx="11">
                    <c:v>Mar</c:v>
                  </c:pt>
                  <c:pt idx="12">
                    <c:v>Apr</c:v>
                  </c:pt>
                  <c:pt idx="13">
                    <c:v>Apr</c:v>
                  </c:pt>
                </c:lvl>
                <c:lvl>
                  <c:pt idx="0">
                    <c:v>1</c:v>
                  </c:pt>
                  <c:pt idx="1">
                    <c:v>2</c:v>
                  </c:pt>
                  <c:pt idx="2">
                    <c:v>3</c:v>
                  </c:pt>
                  <c:pt idx="4">
                    <c:v>4</c:v>
                  </c:pt>
                  <c:pt idx="5">
                    <c:v>5</c:v>
                  </c:pt>
                  <c:pt idx="6">
                    <c:v>6</c:v>
                  </c:pt>
                  <c:pt idx="7">
                    <c:v>7</c:v>
                  </c:pt>
                  <c:pt idx="8">
                    <c:v>8</c:v>
                  </c:pt>
                  <c:pt idx="9">
                    <c:v>9</c:v>
                  </c:pt>
                  <c:pt idx="10">
                    <c:v>10</c:v>
                  </c:pt>
                  <c:pt idx="11">
                    <c:v>11</c:v>
                  </c:pt>
                  <c:pt idx="12">
                    <c:v>12</c:v>
                  </c:pt>
                  <c:pt idx="13">
                    <c:v>13</c:v>
                  </c:pt>
                </c:lvl>
              </c:multiLvlStrCache>
            </c:multiLvlStrRef>
          </c:cat>
          <c:val>
            <c:numRef>
              <c:f>Data!$AP$3:$AP$30</c:f>
              <c:numCache>
                <c:formatCode>General</c:formatCode>
                <c:ptCount val="14"/>
                <c:pt idx="0">
                  <c:v>0.16442129629629629</c:v>
                </c:pt>
                <c:pt idx="1">
                  <c:v>2.0833333333333332E-2</c:v>
                </c:pt>
                <c:pt idx="2">
                  <c:v>8.1909722222222231E-2</c:v>
                </c:pt>
                <c:pt idx="3">
                  <c:v>7.6388888888888881E-2</c:v>
                </c:pt>
                <c:pt idx="4">
                  <c:v>0.14930555555555555</c:v>
                </c:pt>
                <c:pt idx="5">
                  <c:v>0.15179398148148149</c:v>
                </c:pt>
                <c:pt idx="6">
                  <c:v>7.7094907407407404E-2</c:v>
                </c:pt>
                <c:pt idx="7">
                  <c:v>0.17416666666666666</c:v>
                </c:pt>
                <c:pt idx="8">
                  <c:v>0.17210648148148147</c:v>
                </c:pt>
                <c:pt idx="9">
                  <c:v>0.17454861111111108</c:v>
                </c:pt>
                <c:pt idx="10">
                  <c:v>0.14023148148148148</c:v>
                </c:pt>
                <c:pt idx="11">
                  <c:v>0.1554861111111111</c:v>
                </c:pt>
                <c:pt idx="12">
                  <c:v>6.491898148148148E-2</c:v>
                </c:pt>
                <c:pt idx="13">
                  <c:v>7.6388888888888881E-2</c:v>
                </c:pt>
              </c:numCache>
            </c:numRef>
          </c:val>
          <c:extLst>
            <c:ext xmlns:c16="http://schemas.microsoft.com/office/drawing/2014/chart" uri="{C3380CC4-5D6E-409C-BE32-E72D297353CC}">
              <c16:uniqueId val="{00000000-C64E-E84F-8CB4-2D740715E4DA}"/>
            </c:ext>
          </c:extLst>
        </c:ser>
        <c:ser>
          <c:idx val="1"/>
          <c:order val="1"/>
          <c:tx>
            <c:strRef>
              <c:f>Data!$AQ$1:$AQ$2</c:f>
              <c:strCache>
                <c:ptCount val="1"/>
                <c:pt idx="0">
                  <c:v>Piano</c:v>
                </c:pt>
              </c:strCache>
            </c:strRef>
          </c:tx>
          <c:spPr>
            <a:solidFill>
              <a:srgbClr val="EF5055"/>
            </a:solidFill>
            <a:ln>
              <a:noFill/>
            </a:ln>
            <a:effectLst/>
          </c:spPr>
          <c:invertIfNegative val="0"/>
          <c:cat>
            <c:multiLvlStrRef>
              <c:f>Data!$AO$3:$AO$30</c:f>
              <c:multiLvlStrCache>
                <c:ptCount val="14"/>
                <c:lvl>
                  <c:pt idx="0">
                    <c:v>Feb</c:v>
                  </c:pt>
                  <c:pt idx="1">
                    <c:v>Feb</c:v>
                  </c:pt>
                  <c:pt idx="2">
                    <c:v>Feb</c:v>
                  </c:pt>
                  <c:pt idx="3">
                    <c:v>Mar</c:v>
                  </c:pt>
                  <c:pt idx="4">
                    <c:v>Mar</c:v>
                  </c:pt>
                  <c:pt idx="5">
                    <c:v>Mar</c:v>
                  </c:pt>
                  <c:pt idx="6">
                    <c:v>Mar</c:v>
                  </c:pt>
                  <c:pt idx="7">
                    <c:v>Mar</c:v>
                  </c:pt>
                  <c:pt idx="8">
                    <c:v>Mar</c:v>
                  </c:pt>
                  <c:pt idx="9">
                    <c:v>Mar</c:v>
                  </c:pt>
                  <c:pt idx="10">
                    <c:v>Mar</c:v>
                  </c:pt>
                  <c:pt idx="11">
                    <c:v>Mar</c:v>
                  </c:pt>
                  <c:pt idx="12">
                    <c:v>Apr</c:v>
                  </c:pt>
                  <c:pt idx="13">
                    <c:v>Apr</c:v>
                  </c:pt>
                </c:lvl>
                <c:lvl>
                  <c:pt idx="0">
                    <c:v>1</c:v>
                  </c:pt>
                  <c:pt idx="1">
                    <c:v>2</c:v>
                  </c:pt>
                  <c:pt idx="2">
                    <c:v>3</c:v>
                  </c:pt>
                  <c:pt idx="4">
                    <c:v>4</c:v>
                  </c:pt>
                  <c:pt idx="5">
                    <c:v>5</c:v>
                  </c:pt>
                  <c:pt idx="6">
                    <c:v>6</c:v>
                  </c:pt>
                  <c:pt idx="7">
                    <c:v>7</c:v>
                  </c:pt>
                  <c:pt idx="8">
                    <c:v>8</c:v>
                  </c:pt>
                  <c:pt idx="9">
                    <c:v>9</c:v>
                  </c:pt>
                  <c:pt idx="10">
                    <c:v>10</c:v>
                  </c:pt>
                  <c:pt idx="11">
                    <c:v>11</c:v>
                  </c:pt>
                  <c:pt idx="12">
                    <c:v>12</c:v>
                  </c:pt>
                  <c:pt idx="13">
                    <c:v>13</c:v>
                  </c:pt>
                </c:lvl>
              </c:multiLvlStrCache>
            </c:multiLvlStrRef>
          </c:cat>
          <c:val>
            <c:numRef>
              <c:f>Data!$AQ$3:$AQ$30</c:f>
              <c:numCache>
                <c:formatCode>General</c:formatCode>
                <c:ptCount val="14"/>
                <c:pt idx="0">
                  <c:v>0.15717592592592591</c:v>
                </c:pt>
                <c:pt idx="1">
                  <c:v>4.4641203703703711E-2</c:v>
                </c:pt>
                <c:pt idx="2">
                  <c:v>0.10122685185185186</c:v>
                </c:pt>
                <c:pt idx="4">
                  <c:v>0.14305555555555555</c:v>
                </c:pt>
                <c:pt idx="5">
                  <c:v>4.175925925925926E-2</c:v>
                </c:pt>
                <c:pt idx="6">
                  <c:v>0.15694444444444444</c:v>
                </c:pt>
                <c:pt idx="7">
                  <c:v>7.1527777777777773E-2</c:v>
                </c:pt>
                <c:pt idx="8">
                  <c:v>6.3784722222222229E-2</c:v>
                </c:pt>
                <c:pt idx="9">
                  <c:v>8.6805555555555552E-2</c:v>
                </c:pt>
                <c:pt idx="10">
                  <c:v>6.2303240740740742E-2</c:v>
                </c:pt>
                <c:pt idx="11">
                  <c:v>9.6956018518518511E-2</c:v>
                </c:pt>
                <c:pt idx="13">
                  <c:v>0.16193287037037038</c:v>
                </c:pt>
              </c:numCache>
            </c:numRef>
          </c:val>
          <c:extLst>
            <c:ext xmlns:c16="http://schemas.microsoft.com/office/drawing/2014/chart" uri="{C3380CC4-5D6E-409C-BE32-E72D297353CC}">
              <c16:uniqueId val="{00000001-C64E-E84F-8CB4-2D740715E4DA}"/>
            </c:ext>
          </c:extLst>
        </c:ser>
        <c:ser>
          <c:idx val="2"/>
          <c:order val="2"/>
          <c:tx>
            <c:strRef>
              <c:f>Data!$AR$1:$AR$2</c:f>
              <c:strCache>
                <c:ptCount val="1"/>
                <c:pt idx="0">
                  <c:v>Counterpoint</c:v>
                </c:pt>
              </c:strCache>
            </c:strRef>
          </c:tx>
          <c:spPr>
            <a:solidFill>
              <a:srgbClr val="99FFBA"/>
            </a:solidFill>
            <a:ln>
              <a:noFill/>
            </a:ln>
            <a:effectLst/>
          </c:spPr>
          <c:invertIfNegative val="0"/>
          <c:cat>
            <c:multiLvlStrRef>
              <c:f>Data!$AO$3:$AO$30</c:f>
              <c:multiLvlStrCache>
                <c:ptCount val="14"/>
                <c:lvl>
                  <c:pt idx="0">
                    <c:v>Feb</c:v>
                  </c:pt>
                  <c:pt idx="1">
                    <c:v>Feb</c:v>
                  </c:pt>
                  <c:pt idx="2">
                    <c:v>Feb</c:v>
                  </c:pt>
                  <c:pt idx="3">
                    <c:v>Mar</c:v>
                  </c:pt>
                  <c:pt idx="4">
                    <c:v>Mar</c:v>
                  </c:pt>
                  <c:pt idx="5">
                    <c:v>Mar</c:v>
                  </c:pt>
                  <c:pt idx="6">
                    <c:v>Mar</c:v>
                  </c:pt>
                  <c:pt idx="7">
                    <c:v>Mar</c:v>
                  </c:pt>
                  <c:pt idx="8">
                    <c:v>Mar</c:v>
                  </c:pt>
                  <c:pt idx="9">
                    <c:v>Mar</c:v>
                  </c:pt>
                  <c:pt idx="10">
                    <c:v>Mar</c:v>
                  </c:pt>
                  <c:pt idx="11">
                    <c:v>Mar</c:v>
                  </c:pt>
                  <c:pt idx="12">
                    <c:v>Apr</c:v>
                  </c:pt>
                  <c:pt idx="13">
                    <c:v>Apr</c:v>
                  </c:pt>
                </c:lvl>
                <c:lvl>
                  <c:pt idx="0">
                    <c:v>1</c:v>
                  </c:pt>
                  <c:pt idx="1">
                    <c:v>2</c:v>
                  </c:pt>
                  <c:pt idx="2">
                    <c:v>3</c:v>
                  </c:pt>
                  <c:pt idx="4">
                    <c:v>4</c:v>
                  </c:pt>
                  <c:pt idx="5">
                    <c:v>5</c:v>
                  </c:pt>
                  <c:pt idx="6">
                    <c:v>6</c:v>
                  </c:pt>
                  <c:pt idx="7">
                    <c:v>7</c:v>
                  </c:pt>
                  <c:pt idx="8">
                    <c:v>8</c:v>
                  </c:pt>
                  <c:pt idx="9">
                    <c:v>9</c:v>
                  </c:pt>
                  <c:pt idx="10">
                    <c:v>10</c:v>
                  </c:pt>
                  <c:pt idx="11">
                    <c:v>11</c:v>
                  </c:pt>
                  <c:pt idx="12">
                    <c:v>12</c:v>
                  </c:pt>
                  <c:pt idx="13">
                    <c:v>13</c:v>
                  </c:pt>
                </c:lvl>
              </c:multiLvlStrCache>
            </c:multiLvlStrRef>
          </c:cat>
          <c:val>
            <c:numRef>
              <c:f>Data!$AR$3:$AR$30</c:f>
              <c:numCache>
                <c:formatCode>General</c:formatCode>
                <c:ptCount val="14"/>
                <c:pt idx="0">
                  <c:v>7.8090277777777772E-2</c:v>
                </c:pt>
                <c:pt idx="1">
                  <c:v>9.6388888888888899E-2</c:v>
                </c:pt>
                <c:pt idx="2">
                  <c:v>0.13437500000000002</c:v>
                </c:pt>
                <c:pt idx="4">
                  <c:v>0.1448726851851852</c:v>
                </c:pt>
                <c:pt idx="5">
                  <c:v>6.3379629629629633E-2</c:v>
                </c:pt>
                <c:pt idx="6">
                  <c:v>0.10496527777777777</c:v>
                </c:pt>
                <c:pt idx="7">
                  <c:v>4.8078703703703707E-2</c:v>
                </c:pt>
                <c:pt idx="8">
                  <c:v>0.17354166666666665</c:v>
                </c:pt>
                <c:pt idx="9">
                  <c:v>6.6932870370370379E-2</c:v>
                </c:pt>
                <c:pt idx="11">
                  <c:v>7.239583333333334E-2</c:v>
                </c:pt>
                <c:pt idx="12">
                  <c:v>2.4305555555555556E-2</c:v>
                </c:pt>
                <c:pt idx="13">
                  <c:v>0.10206018518518518</c:v>
                </c:pt>
              </c:numCache>
            </c:numRef>
          </c:val>
          <c:extLst>
            <c:ext xmlns:c16="http://schemas.microsoft.com/office/drawing/2014/chart" uri="{C3380CC4-5D6E-409C-BE32-E72D297353CC}">
              <c16:uniqueId val="{00000002-C64E-E84F-8CB4-2D740715E4DA}"/>
            </c:ext>
          </c:extLst>
        </c:ser>
        <c:ser>
          <c:idx val="3"/>
          <c:order val="3"/>
          <c:tx>
            <c:strRef>
              <c:f>Data!$AS$1:$AS$2</c:f>
              <c:strCache>
                <c:ptCount val="1"/>
                <c:pt idx="0">
                  <c:v>Analysis</c:v>
                </c:pt>
              </c:strCache>
            </c:strRef>
          </c:tx>
          <c:spPr>
            <a:solidFill>
              <a:srgbClr val="4091FF"/>
            </a:solidFill>
            <a:ln>
              <a:noFill/>
            </a:ln>
            <a:effectLst/>
          </c:spPr>
          <c:invertIfNegative val="0"/>
          <c:cat>
            <c:multiLvlStrRef>
              <c:f>Data!$AO$3:$AO$30</c:f>
              <c:multiLvlStrCache>
                <c:ptCount val="14"/>
                <c:lvl>
                  <c:pt idx="0">
                    <c:v>Feb</c:v>
                  </c:pt>
                  <c:pt idx="1">
                    <c:v>Feb</c:v>
                  </c:pt>
                  <c:pt idx="2">
                    <c:v>Feb</c:v>
                  </c:pt>
                  <c:pt idx="3">
                    <c:v>Mar</c:v>
                  </c:pt>
                  <c:pt idx="4">
                    <c:v>Mar</c:v>
                  </c:pt>
                  <c:pt idx="5">
                    <c:v>Mar</c:v>
                  </c:pt>
                  <c:pt idx="6">
                    <c:v>Mar</c:v>
                  </c:pt>
                  <c:pt idx="7">
                    <c:v>Mar</c:v>
                  </c:pt>
                  <c:pt idx="8">
                    <c:v>Mar</c:v>
                  </c:pt>
                  <c:pt idx="9">
                    <c:v>Mar</c:v>
                  </c:pt>
                  <c:pt idx="10">
                    <c:v>Mar</c:v>
                  </c:pt>
                  <c:pt idx="11">
                    <c:v>Mar</c:v>
                  </c:pt>
                  <c:pt idx="12">
                    <c:v>Apr</c:v>
                  </c:pt>
                  <c:pt idx="13">
                    <c:v>Apr</c:v>
                  </c:pt>
                </c:lvl>
                <c:lvl>
                  <c:pt idx="0">
                    <c:v>1</c:v>
                  </c:pt>
                  <c:pt idx="1">
                    <c:v>2</c:v>
                  </c:pt>
                  <c:pt idx="2">
                    <c:v>3</c:v>
                  </c:pt>
                  <c:pt idx="4">
                    <c:v>4</c:v>
                  </c:pt>
                  <c:pt idx="5">
                    <c:v>5</c:v>
                  </c:pt>
                  <c:pt idx="6">
                    <c:v>6</c:v>
                  </c:pt>
                  <c:pt idx="7">
                    <c:v>7</c:v>
                  </c:pt>
                  <c:pt idx="8">
                    <c:v>8</c:v>
                  </c:pt>
                  <c:pt idx="9">
                    <c:v>9</c:v>
                  </c:pt>
                  <c:pt idx="10">
                    <c:v>10</c:v>
                  </c:pt>
                  <c:pt idx="11">
                    <c:v>11</c:v>
                  </c:pt>
                  <c:pt idx="12">
                    <c:v>12</c:v>
                  </c:pt>
                  <c:pt idx="13">
                    <c:v>13</c:v>
                  </c:pt>
                </c:lvl>
              </c:multiLvlStrCache>
            </c:multiLvlStrRef>
          </c:cat>
          <c:val>
            <c:numRef>
              <c:f>Data!$AS$3:$AS$30</c:f>
              <c:numCache>
                <c:formatCode>General</c:formatCode>
                <c:ptCount val="14"/>
                <c:pt idx="0">
                  <c:v>4.8993055555555554E-2</c:v>
                </c:pt>
                <c:pt idx="4">
                  <c:v>3.125E-2</c:v>
                </c:pt>
                <c:pt idx="5">
                  <c:v>1.6759259259259258E-2</c:v>
                </c:pt>
                <c:pt idx="6">
                  <c:v>1.6423611111111111E-2</c:v>
                </c:pt>
                <c:pt idx="7">
                  <c:v>1.3888888888888888E-2</c:v>
                </c:pt>
                <c:pt idx="8">
                  <c:v>2.2326388888888885E-2</c:v>
                </c:pt>
                <c:pt idx="9">
                  <c:v>3.5069444444444445E-2</c:v>
                </c:pt>
                <c:pt idx="10">
                  <c:v>4.6469907407407411E-2</c:v>
                </c:pt>
                <c:pt idx="11">
                  <c:v>4.8611111111111112E-2</c:v>
                </c:pt>
                <c:pt idx="13">
                  <c:v>0.10006944444444445</c:v>
                </c:pt>
              </c:numCache>
            </c:numRef>
          </c:val>
          <c:extLst>
            <c:ext xmlns:c16="http://schemas.microsoft.com/office/drawing/2014/chart" uri="{C3380CC4-5D6E-409C-BE32-E72D297353CC}">
              <c16:uniqueId val="{00000003-C64E-E84F-8CB4-2D740715E4DA}"/>
            </c:ext>
          </c:extLst>
        </c:ser>
        <c:ser>
          <c:idx val="4"/>
          <c:order val="4"/>
          <c:tx>
            <c:strRef>
              <c:f>Data!$AT$1:$AT$2</c:f>
              <c:strCache>
                <c:ptCount val="1"/>
                <c:pt idx="0">
                  <c:v>Reading</c:v>
                </c:pt>
              </c:strCache>
            </c:strRef>
          </c:tx>
          <c:spPr>
            <a:solidFill>
              <a:srgbClr val="9F8CFF"/>
            </a:solidFill>
            <a:ln>
              <a:noFill/>
            </a:ln>
            <a:effectLst/>
          </c:spPr>
          <c:invertIfNegative val="0"/>
          <c:cat>
            <c:multiLvlStrRef>
              <c:f>Data!$AO$3:$AO$30</c:f>
              <c:multiLvlStrCache>
                <c:ptCount val="14"/>
                <c:lvl>
                  <c:pt idx="0">
                    <c:v>Feb</c:v>
                  </c:pt>
                  <c:pt idx="1">
                    <c:v>Feb</c:v>
                  </c:pt>
                  <c:pt idx="2">
                    <c:v>Feb</c:v>
                  </c:pt>
                  <c:pt idx="3">
                    <c:v>Mar</c:v>
                  </c:pt>
                  <c:pt idx="4">
                    <c:v>Mar</c:v>
                  </c:pt>
                  <c:pt idx="5">
                    <c:v>Mar</c:v>
                  </c:pt>
                  <c:pt idx="6">
                    <c:v>Mar</c:v>
                  </c:pt>
                  <c:pt idx="7">
                    <c:v>Mar</c:v>
                  </c:pt>
                  <c:pt idx="8">
                    <c:v>Mar</c:v>
                  </c:pt>
                  <c:pt idx="9">
                    <c:v>Mar</c:v>
                  </c:pt>
                  <c:pt idx="10">
                    <c:v>Mar</c:v>
                  </c:pt>
                  <c:pt idx="11">
                    <c:v>Mar</c:v>
                  </c:pt>
                  <c:pt idx="12">
                    <c:v>Apr</c:v>
                  </c:pt>
                  <c:pt idx="13">
                    <c:v>Apr</c:v>
                  </c:pt>
                </c:lvl>
                <c:lvl>
                  <c:pt idx="0">
                    <c:v>1</c:v>
                  </c:pt>
                  <c:pt idx="1">
                    <c:v>2</c:v>
                  </c:pt>
                  <c:pt idx="2">
                    <c:v>3</c:v>
                  </c:pt>
                  <c:pt idx="4">
                    <c:v>4</c:v>
                  </c:pt>
                  <c:pt idx="5">
                    <c:v>5</c:v>
                  </c:pt>
                  <c:pt idx="6">
                    <c:v>6</c:v>
                  </c:pt>
                  <c:pt idx="7">
                    <c:v>7</c:v>
                  </c:pt>
                  <c:pt idx="8">
                    <c:v>8</c:v>
                  </c:pt>
                  <c:pt idx="9">
                    <c:v>9</c:v>
                  </c:pt>
                  <c:pt idx="10">
                    <c:v>10</c:v>
                  </c:pt>
                  <c:pt idx="11">
                    <c:v>11</c:v>
                  </c:pt>
                  <c:pt idx="12">
                    <c:v>12</c:v>
                  </c:pt>
                  <c:pt idx="13">
                    <c:v>13</c:v>
                  </c:pt>
                </c:lvl>
              </c:multiLvlStrCache>
            </c:multiLvlStrRef>
          </c:cat>
          <c:val>
            <c:numRef>
              <c:f>Data!$AT$3:$AT$30</c:f>
              <c:numCache>
                <c:formatCode>General</c:formatCode>
                <c:ptCount val="14"/>
                <c:pt idx="5">
                  <c:v>1.1932870370370371E-2</c:v>
                </c:pt>
                <c:pt idx="6">
                  <c:v>2.0856481481481479E-2</c:v>
                </c:pt>
                <c:pt idx="8">
                  <c:v>3.0011574074074076E-2</c:v>
                </c:pt>
                <c:pt idx="10">
                  <c:v>7.2314814814814818E-2</c:v>
                </c:pt>
              </c:numCache>
            </c:numRef>
          </c:val>
          <c:extLst>
            <c:ext xmlns:c16="http://schemas.microsoft.com/office/drawing/2014/chart" uri="{C3380CC4-5D6E-409C-BE32-E72D297353CC}">
              <c16:uniqueId val="{00000004-C64E-E84F-8CB4-2D740715E4DA}"/>
            </c:ext>
          </c:extLst>
        </c:ser>
        <c:ser>
          <c:idx val="5"/>
          <c:order val="5"/>
          <c:tx>
            <c:strRef>
              <c:f>Data!$AU$1:$AU$2</c:f>
              <c:strCache>
                <c:ptCount val="1"/>
                <c:pt idx="0">
                  <c:v>Orchestration</c:v>
                </c:pt>
              </c:strCache>
            </c:strRef>
          </c:tx>
          <c:spPr>
            <a:solidFill>
              <a:srgbClr val="92421B"/>
            </a:solidFill>
            <a:ln>
              <a:noFill/>
            </a:ln>
            <a:effectLst/>
          </c:spPr>
          <c:invertIfNegative val="0"/>
          <c:cat>
            <c:multiLvlStrRef>
              <c:f>Data!$AO$3:$AO$30</c:f>
              <c:multiLvlStrCache>
                <c:ptCount val="14"/>
                <c:lvl>
                  <c:pt idx="0">
                    <c:v>Feb</c:v>
                  </c:pt>
                  <c:pt idx="1">
                    <c:v>Feb</c:v>
                  </c:pt>
                  <c:pt idx="2">
                    <c:v>Feb</c:v>
                  </c:pt>
                  <c:pt idx="3">
                    <c:v>Mar</c:v>
                  </c:pt>
                  <c:pt idx="4">
                    <c:v>Mar</c:v>
                  </c:pt>
                  <c:pt idx="5">
                    <c:v>Mar</c:v>
                  </c:pt>
                  <c:pt idx="6">
                    <c:v>Mar</c:v>
                  </c:pt>
                  <c:pt idx="7">
                    <c:v>Mar</c:v>
                  </c:pt>
                  <c:pt idx="8">
                    <c:v>Mar</c:v>
                  </c:pt>
                  <c:pt idx="9">
                    <c:v>Mar</c:v>
                  </c:pt>
                  <c:pt idx="10">
                    <c:v>Mar</c:v>
                  </c:pt>
                  <c:pt idx="11">
                    <c:v>Mar</c:v>
                  </c:pt>
                  <c:pt idx="12">
                    <c:v>Apr</c:v>
                  </c:pt>
                  <c:pt idx="13">
                    <c:v>Apr</c:v>
                  </c:pt>
                </c:lvl>
                <c:lvl>
                  <c:pt idx="0">
                    <c:v>1</c:v>
                  </c:pt>
                  <c:pt idx="1">
                    <c:v>2</c:v>
                  </c:pt>
                  <c:pt idx="2">
                    <c:v>3</c:v>
                  </c:pt>
                  <c:pt idx="4">
                    <c:v>4</c:v>
                  </c:pt>
                  <c:pt idx="5">
                    <c:v>5</c:v>
                  </c:pt>
                  <c:pt idx="6">
                    <c:v>6</c:v>
                  </c:pt>
                  <c:pt idx="7">
                    <c:v>7</c:v>
                  </c:pt>
                  <c:pt idx="8">
                    <c:v>8</c:v>
                  </c:pt>
                  <c:pt idx="9">
                    <c:v>9</c:v>
                  </c:pt>
                  <c:pt idx="10">
                    <c:v>10</c:v>
                  </c:pt>
                  <c:pt idx="11">
                    <c:v>11</c:v>
                  </c:pt>
                  <c:pt idx="12">
                    <c:v>12</c:v>
                  </c:pt>
                  <c:pt idx="13">
                    <c:v>13</c:v>
                  </c:pt>
                </c:lvl>
              </c:multiLvlStrCache>
            </c:multiLvlStrRef>
          </c:cat>
          <c:val>
            <c:numRef>
              <c:f>Data!$AU$3:$AU$30</c:f>
              <c:numCache>
                <c:formatCode>General</c:formatCode>
                <c:ptCount val="14"/>
                <c:pt idx="2">
                  <c:v>1.3888888888888888E-2</c:v>
                </c:pt>
                <c:pt idx="4">
                  <c:v>3.125E-2</c:v>
                </c:pt>
                <c:pt idx="6">
                  <c:v>4.0277777777777773E-2</c:v>
                </c:pt>
                <c:pt idx="7">
                  <c:v>3.4722222222222224E-2</c:v>
                </c:pt>
                <c:pt idx="8">
                  <c:v>1.6666666666666666E-2</c:v>
                </c:pt>
                <c:pt idx="9">
                  <c:v>2.4305555555555556E-2</c:v>
                </c:pt>
                <c:pt idx="10">
                  <c:v>5.9282407407407409E-2</c:v>
                </c:pt>
                <c:pt idx="13">
                  <c:v>2.3831018518518519E-2</c:v>
                </c:pt>
              </c:numCache>
            </c:numRef>
          </c:val>
          <c:extLst>
            <c:ext xmlns:c16="http://schemas.microsoft.com/office/drawing/2014/chart" uri="{C3380CC4-5D6E-409C-BE32-E72D297353CC}">
              <c16:uniqueId val="{00000005-C64E-E84F-8CB4-2D740715E4DA}"/>
            </c:ext>
          </c:extLst>
        </c:ser>
        <c:dLbls>
          <c:showLegendKey val="0"/>
          <c:showVal val="0"/>
          <c:showCatName val="0"/>
          <c:showSerName val="0"/>
          <c:showPercent val="0"/>
          <c:showBubbleSize val="0"/>
        </c:dLbls>
        <c:gapWidth val="150"/>
        <c:overlap val="100"/>
        <c:axId val="615743599"/>
        <c:axId val="615729215"/>
      </c:barChart>
      <c:catAx>
        <c:axId val="615743599"/>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a:t>Session</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615729215"/>
        <c:crosses val="autoZero"/>
        <c:auto val="1"/>
        <c:lblAlgn val="ctr"/>
        <c:lblOffset val="100"/>
        <c:noMultiLvlLbl val="0"/>
      </c:catAx>
      <c:valAx>
        <c:axId val="61572921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a:t>Focused Time</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615743599"/>
        <c:crosses val="autoZero"/>
        <c:crossBetween val="between"/>
      </c:valAx>
      <c:spPr>
        <a:noFill/>
        <a:ln>
          <a:noFill/>
        </a:ln>
        <a:effectLst/>
      </c:spPr>
    </c:plotArea>
    <c:legend>
      <c:legendPos val="r"/>
      <c:layout>
        <c:manualLayout>
          <c:xMode val="edge"/>
          <c:yMode val="edge"/>
          <c:x val="0.75846738764724031"/>
          <c:y val="0.20266590901005374"/>
          <c:w val="0.22831014259694626"/>
          <c:h val="0.58963576017361263"/>
        </c:manualLayout>
      </c:layout>
      <c:overlay val="0"/>
      <c:spPr>
        <a:noFill/>
        <a:ln>
          <a:noFill/>
        </a:ln>
        <a:effectLst/>
      </c:spPr>
      <c:txPr>
        <a:bodyPr rot="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[Semester1CompositionSpreadsheet.xlsm]Data!PivotTable5</c:name>
    <c:fmtId val="2"/>
  </c:pivotSource>
  <c:chart>
    <c:title>
      <c:tx>
        <c:rich>
          <a:bodyPr rot="0" spcFirstLastPara="1" vertOverflow="ellipsis" vert="horz" wrap="square" anchor="ctr" anchorCtr="1"/>
          <a:lstStyle/>
          <a:p>
            <a:pPr>
              <a:defRPr sz="4000" b="0" i="0" u="none" strike="noStrike" kern="1200" spc="0" baseline="0">
                <a:solidFill>
                  <a:schemeClr val="tx1">
                    <a:lumMod val="65000"/>
                    <a:lumOff val="35000"/>
                  </a:schemeClr>
                </a:solidFill>
                <a:latin typeface="+mn-lt"/>
                <a:ea typeface="+mn-ea"/>
                <a:cs typeface="+mn-cs"/>
              </a:defRPr>
            </a:pPr>
            <a:r>
              <a:rPr lang="en-US" sz="4000"/>
              <a:t>Average</a:t>
            </a:r>
            <a:r>
              <a:rPr lang="en-US" sz="4000" baseline="0"/>
              <a:t> Rating day by day</a:t>
            </a:r>
          </a:p>
        </c:rich>
      </c:tx>
      <c:layout>
        <c:manualLayout>
          <c:xMode val="edge"/>
          <c:yMode val="edge"/>
          <c:x val="0.27718288588923878"/>
          <c:y val="8.9947706386605871E-3"/>
        </c:manualLayout>
      </c:layout>
      <c:overlay val="0"/>
      <c:spPr>
        <a:noFill/>
        <a:ln>
          <a:noFill/>
        </a:ln>
        <a:effectLst/>
      </c:spPr>
      <c:txPr>
        <a:bodyPr rot="0" spcFirstLastPara="1" vertOverflow="ellipsis" vert="horz" wrap="square" anchor="ctr" anchorCtr="1"/>
        <a:lstStyle/>
        <a:p>
          <a:pPr>
            <a:defRPr sz="4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Data!$BB$1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Data!$BA$2:$BA$39</c:f>
              <c:strCache>
                <c:ptCount val="37"/>
                <c:pt idx="0">
                  <c:v>21-Feb</c:v>
                </c:pt>
                <c:pt idx="1">
                  <c:v>22-Feb</c:v>
                </c:pt>
                <c:pt idx="2">
                  <c:v>23-Feb</c:v>
                </c:pt>
                <c:pt idx="3">
                  <c:v>25-Feb</c:v>
                </c:pt>
                <c:pt idx="4">
                  <c:v>26-Feb</c:v>
                </c:pt>
                <c:pt idx="5">
                  <c:v>27-Feb</c:v>
                </c:pt>
                <c:pt idx="6">
                  <c:v>28-Feb</c:v>
                </c:pt>
                <c:pt idx="7">
                  <c:v>29-Feb</c:v>
                </c:pt>
                <c:pt idx="8">
                  <c:v>2-Mar</c:v>
                </c:pt>
                <c:pt idx="9">
                  <c:v>3-Mar</c:v>
                </c:pt>
                <c:pt idx="10">
                  <c:v>4-Mar</c:v>
                </c:pt>
                <c:pt idx="11">
                  <c:v>5-Mar</c:v>
                </c:pt>
                <c:pt idx="12">
                  <c:v>6-Mar</c:v>
                </c:pt>
                <c:pt idx="13">
                  <c:v>7-Mar</c:v>
                </c:pt>
                <c:pt idx="14">
                  <c:v>8-Mar</c:v>
                </c:pt>
                <c:pt idx="15">
                  <c:v>10-Mar</c:v>
                </c:pt>
                <c:pt idx="16">
                  <c:v>11-Mar</c:v>
                </c:pt>
                <c:pt idx="17">
                  <c:v>12-Mar</c:v>
                </c:pt>
                <c:pt idx="18">
                  <c:v>13-Mar</c:v>
                </c:pt>
                <c:pt idx="19">
                  <c:v>14-Mar</c:v>
                </c:pt>
                <c:pt idx="20">
                  <c:v>15-Mar</c:v>
                </c:pt>
                <c:pt idx="21">
                  <c:v>17-Mar</c:v>
                </c:pt>
                <c:pt idx="22">
                  <c:v>18-Mar</c:v>
                </c:pt>
                <c:pt idx="23">
                  <c:v>19-Mar</c:v>
                </c:pt>
                <c:pt idx="24">
                  <c:v>20-Mar</c:v>
                </c:pt>
                <c:pt idx="25">
                  <c:v>21-Mar</c:v>
                </c:pt>
                <c:pt idx="26">
                  <c:v>22-Mar</c:v>
                </c:pt>
                <c:pt idx="27">
                  <c:v>24-Mar</c:v>
                </c:pt>
                <c:pt idx="28">
                  <c:v>25-Mar</c:v>
                </c:pt>
                <c:pt idx="29">
                  <c:v>26-Mar</c:v>
                </c:pt>
                <c:pt idx="30">
                  <c:v>28-Mar</c:v>
                </c:pt>
                <c:pt idx="31">
                  <c:v>29-Mar</c:v>
                </c:pt>
                <c:pt idx="32">
                  <c:v>30-Mar</c:v>
                </c:pt>
                <c:pt idx="33">
                  <c:v>31-Mar</c:v>
                </c:pt>
                <c:pt idx="34">
                  <c:v>2-Apr</c:v>
                </c:pt>
                <c:pt idx="35">
                  <c:v>3-Apr</c:v>
                </c:pt>
                <c:pt idx="36">
                  <c:v>4-Apr</c:v>
                </c:pt>
              </c:strCache>
            </c:strRef>
          </c:cat>
          <c:val>
            <c:numRef>
              <c:f>Data!$BB$2:$BB$39</c:f>
              <c:numCache>
                <c:formatCode>General</c:formatCode>
                <c:ptCount val="37"/>
                <c:pt idx="3">
                  <c:v>2</c:v>
                </c:pt>
                <c:pt idx="4">
                  <c:v>2</c:v>
                </c:pt>
                <c:pt idx="5">
                  <c:v>2.5</c:v>
                </c:pt>
                <c:pt idx="6">
                  <c:v>3</c:v>
                </c:pt>
                <c:pt idx="7">
                  <c:v>3.5625</c:v>
                </c:pt>
                <c:pt idx="8">
                  <c:v>3.6666666666666665</c:v>
                </c:pt>
                <c:pt idx="9">
                  <c:v>3.2857142857142856</c:v>
                </c:pt>
                <c:pt idx="10">
                  <c:v>3.4166666666666665</c:v>
                </c:pt>
                <c:pt idx="11">
                  <c:v>4</c:v>
                </c:pt>
                <c:pt idx="12">
                  <c:v>3.5</c:v>
                </c:pt>
                <c:pt idx="13">
                  <c:v>3.25</c:v>
                </c:pt>
                <c:pt idx="14">
                  <c:v>3.8571428571428572</c:v>
                </c:pt>
                <c:pt idx="15">
                  <c:v>3.6666666666666665</c:v>
                </c:pt>
                <c:pt idx="16">
                  <c:v>3.1</c:v>
                </c:pt>
                <c:pt idx="17">
                  <c:v>4.125</c:v>
                </c:pt>
                <c:pt idx="18">
                  <c:v>3.3333333333333335</c:v>
                </c:pt>
                <c:pt idx="19">
                  <c:v>3.5</c:v>
                </c:pt>
                <c:pt idx="20">
                  <c:v>3.8888888888888888</c:v>
                </c:pt>
                <c:pt idx="21">
                  <c:v>3.25</c:v>
                </c:pt>
                <c:pt idx="22">
                  <c:v>3.4375</c:v>
                </c:pt>
                <c:pt idx="23">
                  <c:v>3.8</c:v>
                </c:pt>
                <c:pt idx="24">
                  <c:v>3.375</c:v>
                </c:pt>
                <c:pt idx="25">
                  <c:v>4.125</c:v>
                </c:pt>
                <c:pt idx="26">
                  <c:v>4.25</c:v>
                </c:pt>
                <c:pt idx="27">
                  <c:v>3.25</c:v>
                </c:pt>
                <c:pt idx="28">
                  <c:v>3</c:v>
                </c:pt>
                <c:pt idx="29">
                  <c:v>4</c:v>
                </c:pt>
                <c:pt idx="30">
                  <c:v>3</c:v>
                </c:pt>
                <c:pt idx="31">
                  <c:v>2.25</c:v>
                </c:pt>
                <c:pt idx="32">
                  <c:v>3</c:v>
                </c:pt>
                <c:pt idx="33">
                  <c:v>2</c:v>
                </c:pt>
                <c:pt idx="34">
                  <c:v>3.3</c:v>
                </c:pt>
                <c:pt idx="35">
                  <c:v>3.6666666666666665</c:v>
                </c:pt>
                <c:pt idx="36">
                  <c:v>3.8125</c:v>
                </c:pt>
              </c:numCache>
            </c:numRef>
          </c:val>
          <c:smooth val="0"/>
          <c:extLst>
            <c:ext xmlns:c16="http://schemas.microsoft.com/office/drawing/2014/chart" uri="{C3380CC4-5D6E-409C-BE32-E72D297353CC}">
              <c16:uniqueId val="{00000000-3B41-E045-8DFB-B53C06163857}"/>
            </c:ext>
          </c:extLst>
        </c:ser>
        <c:dLbls>
          <c:showLegendKey val="0"/>
          <c:showVal val="0"/>
          <c:showCatName val="0"/>
          <c:showSerName val="0"/>
          <c:showPercent val="0"/>
          <c:showBubbleSize val="0"/>
        </c:dLbls>
        <c:marker val="1"/>
        <c:smooth val="0"/>
        <c:axId val="575107807"/>
        <c:axId val="1695215200"/>
      </c:lineChart>
      <c:catAx>
        <c:axId val="575107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800" b="0" i="0" u="none" strike="noStrike" kern="1200" baseline="0">
                <a:solidFill>
                  <a:schemeClr val="tx1">
                    <a:lumMod val="65000"/>
                    <a:lumOff val="35000"/>
                  </a:schemeClr>
                </a:solidFill>
                <a:latin typeface="+mn-lt"/>
                <a:ea typeface="+mn-ea"/>
                <a:cs typeface="+mn-cs"/>
              </a:defRPr>
            </a:pPr>
            <a:endParaRPr lang="en-US"/>
          </a:p>
        </c:txPr>
        <c:crossAx val="1695215200"/>
        <c:crosses val="autoZero"/>
        <c:auto val="1"/>
        <c:lblAlgn val="ctr"/>
        <c:lblOffset val="100"/>
        <c:noMultiLvlLbl val="0"/>
      </c:catAx>
      <c:valAx>
        <c:axId val="1695215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endParaRPr lang="en-US"/>
          </a:p>
        </c:txPr>
        <c:crossAx val="5751078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[Semester1CompositionSpreadsheet.xlsm]Data!PivotTable6</c:name>
    <c:fmtId val="0"/>
  </c:pivotSource>
  <c:chart>
    <c:title>
      <c:tx>
        <c:rich>
          <a:bodyPr rot="0" spcFirstLastPara="1" vertOverflow="ellipsis" vert="horz" wrap="square" anchor="ctr" anchorCtr="1"/>
          <a:lstStyle/>
          <a:p>
            <a:pPr>
              <a:defRPr sz="4400" b="0" i="0" u="none" strike="noStrike" kern="1200" spc="0" baseline="0">
                <a:solidFill>
                  <a:schemeClr val="tx1">
                    <a:lumMod val="65000"/>
                    <a:lumOff val="35000"/>
                  </a:schemeClr>
                </a:solidFill>
                <a:latin typeface="+mn-lt"/>
                <a:ea typeface="+mn-ea"/>
                <a:cs typeface="+mn-cs"/>
              </a:defRPr>
            </a:pPr>
            <a:r>
              <a:rPr lang="en-US" sz="4400"/>
              <a:t>Average Rating</a:t>
            </a:r>
            <a:r>
              <a:rPr lang="en-US" sz="4400" baseline="0"/>
              <a:t> by Session</a:t>
            </a:r>
            <a:endParaRPr lang="en-US" sz="4400"/>
          </a:p>
        </c:rich>
      </c:tx>
      <c:overlay val="0"/>
      <c:spPr>
        <a:noFill/>
        <a:ln>
          <a:noFill/>
        </a:ln>
        <a:effectLst/>
      </c:spPr>
      <c:txPr>
        <a:bodyPr rot="0" spcFirstLastPara="1" vertOverflow="ellipsis" vert="horz" wrap="square" anchor="ctr" anchorCtr="1"/>
        <a:lstStyle/>
        <a:p>
          <a:pPr>
            <a:defRPr sz="4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Data!$BD$1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Data!$BC$2:$BC$15</c:f>
              <c:strCache>
                <c:ptCount val="13"/>
                <c:pt idx="0">
                  <c:v>1</c:v>
                </c:pt>
                <c:pt idx="1">
                  <c:v>2</c:v>
                </c:pt>
                <c:pt idx="2">
                  <c:v>3</c:v>
                </c:pt>
                <c:pt idx="3">
                  <c:v>4</c:v>
                </c:pt>
                <c:pt idx="4">
                  <c:v>5</c:v>
                </c:pt>
                <c:pt idx="5">
                  <c:v>6</c:v>
                </c:pt>
                <c:pt idx="6">
                  <c:v>7</c:v>
                </c:pt>
                <c:pt idx="7">
                  <c:v>8</c:v>
                </c:pt>
                <c:pt idx="8">
                  <c:v>9</c:v>
                </c:pt>
                <c:pt idx="9">
                  <c:v>10</c:v>
                </c:pt>
                <c:pt idx="10">
                  <c:v>13</c:v>
                </c:pt>
                <c:pt idx="11">
                  <c:v>12</c:v>
                </c:pt>
                <c:pt idx="12">
                  <c:v>11</c:v>
                </c:pt>
              </c:strCache>
            </c:strRef>
          </c:cat>
          <c:val>
            <c:numRef>
              <c:f>Data!$BD$2:$BD$15</c:f>
              <c:numCache>
                <c:formatCode>General</c:formatCode>
                <c:ptCount val="13"/>
                <c:pt idx="1">
                  <c:v>2.1428571428571428</c:v>
                </c:pt>
                <c:pt idx="2">
                  <c:v>3.5</c:v>
                </c:pt>
                <c:pt idx="3">
                  <c:v>3.46875</c:v>
                </c:pt>
                <c:pt idx="4">
                  <c:v>3.6818181818181817</c:v>
                </c:pt>
                <c:pt idx="5">
                  <c:v>3.6111111111111112</c:v>
                </c:pt>
                <c:pt idx="6">
                  <c:v>3.6578947368421053</c:v>
                </c:pt>
                <c:pt idx="7">
                  <c:v>3.4736842105263159</c:v>
                </c:pt>
                <c:pt idx="8">
                  <c:v>4</c:v>
                </c:pt>
                <c:pt idx="9">
                  <c:v>3.4166666666666665</c:v>
                </c:pt>
                <c:pt idx="10">
                  <c:v>3.65625</c:v>
                </c:pt>
                <c:pt idx="11">
                  <c:v>3.5</c:v>
                </c:pt>
                <c:pt idx="12">
                  <c:v>2.5454545454545454</c:v>
                </c:pt>
              </c:numCache>
            </c:numRef>
          </c:val>
          <c:smooth val="0"/>
          <c:extLst>
            <c:ext xmlns:c16="http://schemas.microsoft.com/office/drawing/2014/chart" uri="{C3380CC4-5D6E-409C-BE32-E72D297353CC}">
              <c16:uniqueId val="{00000000-69AF-2346-95EF-117DF41F4C1A}"/>
            </c:ext>
          </c:extLst>
        </c:ser>
        <c:dLbls>
          <c:showLegendKey val="0"/>
          <c:showVal val="0"/>
          <c:showCatName val="0"/>
          <c:showSerName val="0"/>
          <c:showPercent val="0"/>
          <c:showBubbleSize val="0"/>
        </c:dLbls>
        <c:marker val="1"/>
        <c:smooth val="0"/>
        <c:axId val="1359455199"/>
        <c:axId val="1456919183"/>
      </c:lineChart>
      <c:catAx>
        <c:axId val="1359455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456919183"/>
        <c:crosses val="autoZero"/>
        <c:auto val="1"/>
        <c:lblAlgn val="ctr"/>
        <c:lblOffset val="100"/>
        <c:noMultiLvlLbl val="0"/>
      </c:catAx>
      <c:valAx>
        <c:axId val="14569191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endParaRPr lang="en-US"/>
          </a:p>
        </c:txPr>
        <c:crossAx val="1359455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14769</xdr:colOff>
      <xdr:row>0</xdr:row>
      <xdr:rowOff>44301</xdr:rowOff>
    </xdr:from>
    <xdr:to>
      <xdr:col>2</xdr:col>
      <xdr:colOff>0</xdr:colOff>
      <xdr:row>6</xdr:row>
      <xdr:rowOff>324883</xdr:rowOff>
    </xdr:to>
    <xdr:grpSp>
      <xdr:nvGrpSpPr>
        <xdr:cNvPr id="7" name="Group 6">
          <a:extLst>
            <a:ext uri="{FF2B5EF4-FFF2-40B4-BE49-F238E27FC236}">
              <a16:creationId xmlns:a16="http://schemas.microsoft.com/office/drawing/2014/main" id="{FDFE290F-A292-613F-5D28-FAA5AFA24955}"/>
            </a:ext>
          </a:extLst>
        </xdr:cNvPr>
        <xdr:cNvGrpSpPr/>
      </xdr:nvGrpSpPr>
      <xdr:grpSpPr>
        <a:xfrm>
          <a:off x="14769" y="44301"/>
          <a:ext cx="2042631" cy="2972982"/>
          <a:chOff x="59069" y="44302"/>
          <a:chExt cx="1668722" cy="2428248"/>
        </a:xfrm>
      </xdr:grpSpPr>
      <xdr:sp macro="[0]!ForceEndTask" textlink="">
        <xdr:nvSpPr>
          <xdr:cNvPr id="3" name="Hexagon 2">
            <a:extLst>
              <a:ext uri="{FF2B5EF4-FFF2-40B4-BE49-F238E27FC236}">
                <a16:creationId xmlns:a16="http://schemas.microsoft.com/office/drawing/2014/main" id="{A9B8B73E-62F2-996E-DC9A-249228DD88D6}"/>
              </a:ext>
            </a:extLst>
          </xdr:cNvPr>
          <xdr:cNvSpPr/>
        </xdr:nvSpPr>
        <xdr:spPr>
          <a:xfrm>
            <a:off x="251206" y="1476346"/>
            <a:ext cx="1090434" cy="996204"/>
          </a:xfrm>
          <a:prstGeom prst="hexagon">
            <a:avLst/>
          </a:prstGeom>
          <a:solidFill>
            <a:srgbClr val="CB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FORCE FINISH WORK</a:t>
            </a:r>
          </a:p>
        </xdr:txBody>
      </xdr:sp>
      <xdr:sp macro="[0]!StartTask" textlink="">
        <xdr:nvSpPr>
          <xdr:cNvPr id="2" name="Right Arrow 1">
            <a:extLst>
              <a:ext uri="{FF2B5EF4-FFF2-40B4-BE49-F238E27FC236}">
                <a16:creationId xmlns:a16="http://schemas.microsoft.com/office/drawing/2014/main" id="{AC97C2D9-402A-1D43-7E51-4538E2AA4693}"/>
              </a:ext>
            </a:extLst>
          </xdr:cNvPr>
          <xdr:cNvSpPr/>
        </xdr:nvSpPr>
        <xdr:spPr>
          <a:xfrm>
            <a:off x="88605" y="733290"/>
            <a:ext cx="1639186" cy="891130"/>
          </a:xfrm>
          <a:prstGeom prst="rightArrow">
            <a:avLst/>
          </a:prstGeom>
          <a:solidFill>
            <a:srgbClr val="00C20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JUST</a:t>
            </a:r>
            <a:r>
              <a:rPr lang="en-US" sz="1100" baseline="0"/>
              <a:t> STARTED WORK</a:t>
            </a:r>
            <a:endParaRPr lang="en-US" sz="1100"/>
          </a:p>
        </xdr:txBody>
      </xdr:sp>
      <xdr:sp macro="[0]!RetroFinish" textlink="">
        <xdr:nvSpPr>
          <xdr:cNvPr id="4" name="Right Arrow 3">
            <a:extLst>
              <a:ext uri="{FF2B5EF4-FFF2-40B4-BE49-F238E27FC236}">
                <a16:creationId xmlns:a16="http://schemas.microsoft.com/office/drawing/2014/main" id="{5494A73E-F351-900D-91A7-052AB57DAD2A}"/>
              </a:ext>
            </a:extLst>
          </xdr:cNvPr>
          <xdr:cNvSpPr/>
        </xdr:nvSpPr>
        <xdr:spPr>
          <a:xfrm rot="10800000" flipV="1">
            <a:off x="59069" y="44302"/>
            <a:ext cx="1565350" cy="856512"/>
          </a:xfrm>
          <a:prstGeom prst="rightArrow">
            <a:avLst/>
          </a:prstGeom>
          <a:solidFill>
            <a:srgbClr val="2A31E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RETRO FINISH WORK</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1002832</xdr:colOff>
      <xdr:row>0</xdr:row>
      <xdr:rowOff>40968</xdr:rowOff>
    </xdr:from>
    <xdr:to>
      <xdr:col>21</xdr:col>
      <xdr:colOff>530170</xdr:colOff>
      <xdr:row>28</xdr:row>
      <xdr:rowOff>190380</xdr:rowOff>
    </xdr:to>
    <xdr:graphicFrame macro="">
      <xdr:nvGraphicFramePr>
        <xdr:cNvPr id="2" name="Chart 1">
          <a:extLst>
            <a:ext uri="{FF2B5EF4-FFF2-40B4-BE49-F238E27FC236}">
              <a16:creationId xmlns:a16="http://schemas.microsoft.com/office/drawing/2014/main" id="{ABC371F2-FE67-92EB-766E-00DADF0D9A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546944</xdr:colOff>
      <xdr:row>59</xdr:row>
      <xdr:rowOff>162978</xdr:rowOff>
    </xdr:from>
    <xdr:to>
      <xdr:col>21</xdr:col>
      <xdr:colOff>491413</xdr:colOff>
      <xdr:row>89</xdr:row>
      <xdr:rowOff>160459</xdr:rowOff>
    </xdr:to>
    <xdr:graphicFrame macro="">
      <xdr:nvGraphicFramePr>
        <xdr:cNvPr id="10" name="Chart 9">
          <a:extLst>
            <a:ext uri="{FF2B5EF4-FFF2-40B4-BE49-F238E27FC236}">
              <a16:creationId xmlns:a16="http://schemas.microsoft.com/office/drawing/2014/main" id="{D9941E5A-3C96-3567-6600-F3B2B1B05B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491247</xdr:colOff>
      <xdr:row>29</xdr:row>
      <xdr:rowOff>85475</xdr:rowOff>
    </xdr:from>
    <xdr:to>
      <xdr:col>21</xdr:col>
      <xdr:colOff>485589</xdr:colOff>
      <xdr:row>59</xdr:row>
      <xdr:rowOff>117141</xdr:rowOff>
    </xdr:to>
    <xdr:graphicFrame macro="">
      <xdr:nvGraphicFramePr>
        <xdr:cNvPr id="11" name="Chart 10">
          <a:extLst>
            <a:ext uri="{FF2B5EF4-FFF2-40B4-BE49-F238E27FC236}">
              <a16:creationId xmlns:a16="http://schemas.microsoft.com/office/drawing/2014/main" id="{CBA3B2D8-41C1-3E3A-3605-19200F11D7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358444</xdr:colOff>
      <xdr:row>0</xdr:row>
      <xdr:rowOff>139717</xdr:rowOff>
    </xdr:from>
    <xdr:to>
      <xdr:col>35</xdr:col>
      <xdr:colOff>917222</xdr:colOff>
      <xdr:row>45</xdr:row>
      <xdr:rowOff>17639</xdr:rowOff>
    </xdr:to>
    <xdr:graphicFrame macro="">
      <xdr:nvGraphicFramePr>
        <xdr:cNvPr id="14" name="Chart 13">
          <a:extLst>
            <a:ext uri="{FF2B5EF4-FFF2-40B4-BE49-F238E27FC236}">
              <a16:creationId xmlns:a16="http://schemas.microsoft.com/office/drawing/2014/main" id="{5A22485D-9EEB-8EE9-1415-DF851EDD74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345352</xdr:colOff>
      <xdr:row>45</xdr:row>
      <xdr:rowOff>70555</xdr:rowOff>
    </xdr:from>
    <xdr:to>
      <xdr:col>35</xdr:col>
      <xdr:colOff>913509</xdr:colOff>
      <xdr:row>89</xdr:row>
      <xdr:rowOff>137397</xdr:rowOff>
    </xdr:to>
    <xdr:graphicFrame macro="">
      <xdr:nvGraphicFramePr>
        <xdr:cNvPr id="16" name="Chart 15">
          <a:extLst>
            <a:ext uri="{FF2B5EF4-FFF2-40B4-BE49-F238E27FC236}">
              <a16:creationId xmlns:a16="http://schemas.microsoft.com/office/drawing/2014/main" id="{29482306-C286-479E-AA62-296DF6499B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671149</xdr:colOff>
      <xdr:row>8</xdr:row>
      <xdr:rowOff>71090</xdr:rowOff>
    </xdr:from>
    <xdr:to>
      <xdr:col>3</xdr:col>
      <xdr:colOff>745856</xdr:colOff>
      <xdr:row>23</xdr:row>
      <xdr:rowOff>201224</xdr:rowOff>
    </xdr:to>
    <xdr:sp macro="" textlink="">
      <xdr:nvSpPr>
        <xdr:cNvPr id="3" name="Rectangle 2">
          <a:extLst>
            <a:ext uri="{FF2B5EF4-FFF2-40B4-BE49-F238E27FC236}">
              <a16:creationId xmlns:a16="http://schemas.microsoft.com/office/drawing/2014/main" id="{679EFABF-DBE5-D82B-CC07-130D3C2C6C47}"/>
            </a:ext>
          </a:extLst>
        </xdr:cNvPr>
        <xdr:cNvSpPr/>
      </xdr:nvSpPr>
      <xdr:spPr>
        <a:xfrm>
          <a:off x="671149" y="1709800"/>
          <a:ext cx="3597933" cy="3202714"/>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4000">
              <a:solidFill>
                <a:schemeClr val="tx1"/>
              </a:solidFill>
            </a:rPr>
            <a:t>TOTAL FOCUS TIME: </a:t>
          </a:r>
        </a:p>
        <a:p>
          <a:pPr algn="l"/>
          <a:r>
            <a:rPr lang="en-US" sz="4800" b="1">
              <a:solidFill>
                <a:schemeClr val="tx1"/>
              </a:solidFill>
            </a:rPr>
            <a:t>113</a:t>
          </a:r>
          <a:r>
            <a:rPr lang="en-US" sz="4800" b="1" baseline="0">
              <a:solidFill>
                <a:schemeClr val="tx1"/>
              </a:solidFill>
            </a:rPr>
            <a:t> hours, 40 minutes.</a:t>
          </a:r>
          <a:endParaRPr lang="en-US" sz="4800" b="1">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412.582890393518" createdVersion="8" refreshedVersion="8" minRefreshableVersion="3" recordCount="183" xr:uid="{64B793EB-01AA-6541-8A43-57750457E6D0}">
  <cacheSource type="worksheet">
    <worksheetSource name="StudyLog"/>
  </cacheSource>
  <cacheFields count="13">
    <cacheField name="SESSION" numFmtId="1">
      <sharedItems containsSemiMixedTypes="0" containsString="0" containsNumber="1" containsInteger="1" minValue="1" maxValue="13" count="13">
        <n v="13"/>
        <n v="12"/>
        <n v="11"/>
        <n v="10"/>
        <n v="9"/>
        <n v="8"/>
        <n v="7"/>
        <n v="6"/>
        <n v="5"/>
        <n v="4"/>
        <n v="3"/>
        <n v="2"/>
        <n v="1"/>
      </sharedItems>
    </cacheField>
    <cacheField name="DAY" numFmtId="0">
      <sharedItems containsSemiMixedTypes="0" containsNonDate="0" containsDate="1" containsString="0" minDate="2024-02-21T00:00:00" maxDate="2024-04-05T00:00:00" count="37">
        <d v="2024-04-04T00:00:00"/>
        <d v="2024-04-03T00:00:00"/>
        <d v="2024-04-02T00:00:00"/>
        <d v="2024-03-31T00:00:00"/>
        <d v="2024-03-30T00:00:00"/>
        <d v="2024-03-29T00:00:00"/>
        <d v="2024-03-28T00:00:00"/>
        <d v="2024-03-26T00:00:00"/>
        <d v="2024-03-25T00:00:00"/>
        <d v="2024-03-24T00:00:00"/>
        <d v="2024-03-22T00:00:00"/>
        <d v="2024-03-21T00:00:00"/>
        <d v="2024-03-20T00:00:00"/>
        <d v="2024-03-19T00:00:00"/>
        <d v="2024-03-18T00:00:00"/>
        <d v="2024-03-17T00:00:00"/>
        <d v="2024-03-15T00:00:00"/>
        <d v="2024-03-14T00:00:00"/>
        <d v="2024-03-13T00:00:00"/>
        <d v="2024-03-12T00:00:00"/>
        <d v="2024-03-11T00:00:00"/>
        <d v="2024-03-10T00:00:00"/>
        <d v="2024-03-08T00:00:00"/>
        <d v="2024-03-07T00:00:00"/>
        <d v="2024-03-06T00:00:00"/>
        <d v="2024-03-05T00:00:00"/>
        <d v="2024-03-04T00:00:00"/>
        <d v="2024-03-03T00:00:00"/>
        <d v="2024-03-02T00:00:00"/>
        <d v="2024-02-29T00:00:00"/>
        <d v="2024-02-28T00:00:00"/>
        <d v="2024-02-27T00:00:00"/>
        <d v="2024-02-26T00:00:00"/>
        <d v="2024-02-25T00:00:00"/>
        <d v="2024-02-23T00:00:00"/>
        <d v="2024-02-22T00:00:00"/>
        <d v="2024-02-21T00:00:00"/>
      </sharedItems>
      <fieldGroup par="12" base="1">
        <rangePr groupBy="days" startDate="2024-02-21T00:00:00" endDate="2024-04-05T00:00:00"/>
        <groupItems count="368">
          <s v="&lt;2/21/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4/5/24"/>
        </groupItems>
      </fieldGroup>
    </cacheField>
    <cacheField name="TASK" numFmtId="0">
      <sharedItems longText="1"/>
    </cacheField>
    <cacheField name="START" numFmtId="165">
      <sharedItems containsSemiMixedTypes="0" containsNonDate="0" containsDate="1" containsString="0" minDate="2024-02-21T08:57:00" maxDate="2024-04-04T23:10:50"/>
    </cacheField>
    <cacheField name="END" numFmtId="165">
      <sharedItems containsSemiMixedTypes="0" containsNonDate="0" containsDate="1" containsString="0" minDate="2024-02-21T09:55:00" maxDate="2024-04-04T23:45:09"/>
    </cacheField>
    <cacheField name="LENGTH" numFmtId="168">
      <sharedItems containsSemiMixedTypes="0" containsNonDate="0" containsDate="1" containsString="0" minDate="1899-12-30T00:12:00" maxDate="1899-12-30T01:44:15"/>
    </cacheField>
    <cacheField name="PAUSED" numFmtId="166">
      <sharedItems containsSemiMixedTypes="0" containsString="0" containsNumber="1" containsInteger="1" minValue="0" maxValue="25"/>
    </cacheField>
    <cacheField name="RATING" numFmtId="0">
      <sharedItems containsString="0" containsBlank="1" containsNumber="1" minValue="1" maxValue="5"/>
    </cacheField>
    <cacheField name="POMO" numFmtId="166">
      <sharedItems containsMixedTypes="1" containsNumber="1" containsInteger="1" minValue="15" maxValue="60"/>
    </cacheField>
    <cacheField name="TAG" numFmtId="0">
      <sharedItems containsSemiMixedTypes="0" containsString="0" containsNumber="1" containsInteger="1" minValue="1" maxValue="6" count="6">
        <n v="2"/>
        <n v="4"/>
        <n v="6"/>
        <n v="1"/>
        <n v="3"/>
        <n v="5"/>
      </sharedItems>
    </cacheField>
    <cacheField name="COUNT" numFmtId="0">
      <sharedItems containsSemiMixedTypes="0" containsString="0" containsNumber="1" containsInteger="1" minValue="1" maxValue="2"/>
    </cacheField>
    <cacheField name="FormatDate" numFmtId="0">
      <sharedItems containsSemiMixedTypes="0" containsNonDate="0" containsDate="1" containsString="0" minDate="2024-02-21T00:00:00" maxDate="2024-04-05T00:00:00"/>
    </cacheField>
    <cacheField name="Months" numFmtId="0" databaseField="0">
      <fieldGroup base="1">
        <rangePr groupBy="months" startDate="2024-02-21T00:00:00" endDate="2024-04-05T00:00:00"/>
        <groupItems count="14">
          <s v="&lt;2/21/24"/>
          <s v="Jan"/>
          <s v="Feb"/>
          <s v="Mar"/>
          <s v="Apr"/>
          <s v="May"/>
          <s v="Jun"/>
          <s v="Jul"/>
          <s v="Aug"/>
          <s v="Sep"/>
          <s v="Oct"/>
          <s v="Nov"/>
          <s v="Dec"/>
          <s v="&gt;4/5/24"/>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3">
  <r>
    <x v="0"/>
    <x v="0"/>
    <s v="more practicing"/>
    <d v="2024-04-04T13:59:58"/>
    <d v="2024-04-04T14:34:58"/>
    <d v="1899-12-30T00:35:00"/>
    <n v="0"/>
    <n v="4"/>
    <n v="35"/>
    <x v="0"/>
    <n v="1"/>
    <d v="2024-04-04T00:00:00"/>
  </r>
  <r>
    <x v="0"/>
    <x v="0"/>
    <s v="practice various excerpts."/>
    <d v="2024-04-04T13:15:30"/>
    <d v="2024-04-04T13:50:30"/>
    <d v="1899-12-30T00:35:00"/>
    <n v="0"/>
    <n v="4"/>
    <n v="35"/>
    <x v="0"/>
    <n v="1"/>
    <d v="2024-04-04T00:00:00"/>
  </r>
  <r>
    <x v="0"/>
    <x v="0"/>
    <s v="Complete 3 more excerpt paragraphs: tchaik 6 orchestration excerpt, Haydn 28-I and Haydn 33-I "/>
    <d v="2024-04-04T11:56:33"/>
    <d v="2024-04-04T12:51:33"/>
    <d v="1899-12-30T00:55:00"/>
    <n v="0"/>
    <n v="4"/>
    <n v="55"/>
    <x v="1"/>
    <n v="1"/>
    <d v="2024-04-04T00:00:00"/>
  </r>
  <r>
    <x v="0"/>
    <x v="0"/>
    <s v="correct and practice borodin string quartet excerpt"/>
    <d v="2024-04-04T23:10:50"/>
    <d v="2024-04-04T23:45:09"/>
    <d v="1899-12-30T00:34:19"/>
    <n v="0"/>
    <n v="3"/>
    <n v="30"/>
    <x v="2"/>
    <n v="1"/>
    <d v="2024-04-04T00:00:00"/>
  </r>
  <r>
    <x v="0"/>
    <x v="0"/>
    <s v="Finish st. matthew's  passion paragraph and write Haydn 27-II paragraph"/>
    <d v="2024-04-04T10:03:50"/>
    <d v="2024-04-04T10:59:02"/>
    <d v="1899-12-30T00:43:12"/>
    <n v="12"/>
    <n v="4"/>
    <n v="40"/>
    <x v="1"/>
    <n v="1"/>
    <d v="2024-04-04T00:00:00"/>
  </r>
  <r>
    <x v="0"/>
    <x v="0"/>
    <s v="major progress on schubert piano sonata chorale-like and beethoven septet scherzo: like to interleave them when it gets very frustrating, then I come back to it and have solidified a bit. Let the mind do the work etc"/>
    <d v="2024-04-04T09:20:22"/>
    <d v="2024-04-04T09:55:22"/>
    <d v="1899-12-30T00:35:00"/>
    <n v="0"/>
    <n v="4.5"/>
    <n v="35"/>
    <x v="0"/>
    <n v="1"/>
    <d v="2024-04-04T00:00:00"/>
  </r>
  <r>
    <x v="0"/>
    <x v="0"/>
    <s v="somewhat chaotic improvisation on lullaby theme"/>
    <d v="2024-04-04T08:25:36"/>
    <d v="2024-04-04T09:00:36"/>
    <d v="1899-12-30T00:35:00"/>
    <n v="0"/>
    <n v="4"/>
    <n v="35"/>
    <x v="3"/>
    <n v="1"/>
    <d v="2024-04-04T00:00:00"/>
  </r>
  <r>
    <x v="0"/>
    <x v="0"/>
    <s v="Improv on lullaby theme"/>
    <d v="2024-04-03T20:45:00"/>
    <d v="2024-04-03T21:30:00"/>
    <d v="1899-12-30T00:45:00"/>
    <n v="0"/>
    <n v="3"/>
    <n v="45"/>
    <x v="3"/>
    <n v="1"/>
    <d v="2024-04-04T00:00:00"/>
  </r>
  <r>
    <x v="0"/>
    <x v="1"/>
    <s v="Edit analysis paragraphs according to corrections and begin bach st matthew paragraph"/>
    <d v="2024-04-03T16:15:28"/>
    <d v="2024-04-03T17:01:22"/>
    <d v="1899-12-30T00:45:54"/>
    <n v="0"/>
    <n v="4"/>
    <n v="40"/>
    <x v="1"/>
    <n v="1"/>
    <d v="2024-04-03T00:00:00"/>
  </r>
  <r>
    <x v="0"/>
    <x v="1"/>
    <s v="Practice excerpts- schubert, haydn, beethoven septet scherzo"/>
    <d v="2024-04-03T15:16:12"/>
    <d v="2024-04-03T16:01:12"/>
    <d v="1899-12-30T00:45:00"/>
    <n v="0"/>
    <n v="4"/>
    <n v="45"/>
    <x v="0"/>
    <n v="1"/>
    <d v="2024-04-03T00:00:00"/>
  </r>
  <r>
    <x v="0"/>
    <x v="1"/>
    <s v="Complete 6/4 A major cadence, but it has ssequences and sounds quite disjointed. Also took way too long"/>
    <d v="2024-04-03T13:38:01"/>
    <d v="2024-04-03T14:54:31"/>
    <d v="1899-12-30T01:11:30"/>
    <n v="5"/>
    <n v="2"/>
    <n v="30"/>
    <x v="4"/>
    <n v="1"/>
    <d v="2024-04-03T00:00:00"/>
  </r>
  <r>
    <x v="0"/>
    <x v="1"/>
    <s v="complete f minor cadence"/>
    <d v="2024-04-03T12:39:44"/>
    <d v="2024-04-03T13:04:44"/>
    <d v="1899-12-30T00:25:00"/>
    <n v="0"/>
    <n v="4"/>
    <n v="25"/>
    <x v="4"/>
    <n v="1"/>
    <d v="2024-04-03T00:00:00"/>
  </r>
  <r>
    <x v="0"/>
    <x v="1"/>
    <s v="practice various excerpts"/>
    <d v="2024-04-03T11:37:00"/>
    <d v="2024-04-03T12:23:38"/>
    <d v="1899-12-30T00:46:38"/>
    <n v="0"/>
    <n v="4"/>
    <n v="45"/>
    <x v="0"/>
    <n v="1"/>
    <d v="2024-04-03T00:00:00"/>
  </r>
  <r>
    <x v="0"/>
    <x v="1"/>
    <s v="Fix Si mineure cadence"/>
    <d v="2024-04-03T10:29:16"/>
    <d v="2024-04-03T11:21:44"/>
    <d v="1899-12-30T00:50:28"/>
    <n v="2"/>
    <n v="4"/>
    <n v="40"/>
    <x v="4"/>
    <n v="1"/>
    <d v="2024-04-03T00:00:00"/>
  </r>
  <r>
    <x v="0"/>
    <x v="2"/>
    <s v="2nd moxart excerpt and schubert op 53 II fingerings"/>
    <d v="2024-04-02T20:28:25"/>
    <d v="2024-04-02T21:04:58"/>
    <d v="1899-12-30T00:36:33"/>
    <n v="0"/>
    <n v="3"/>
    <n v="30"/>
    <x v="0"/>
    <n v="1"/>
    <d v="2024-04-02T00:00:00"/>
  </r>
  <r>
    <x v="0"/>
    <x v="2"/>
    <s v="30 minutes improvising on lullaby theme"/>
    <d v="2024-04-02T18:22:33"/>
    <d v="2024-04-02T18:52:33"/>
    <d v="1899-12-30T00:30:00"/>
    <n v="0"/>
    <n v="3"/>
    <n v="30"/>
    <x v="3"/>
    <n v="1"/>
    <d v="2024-04-02T00:00:00"/>
  </r>
  <r>
    <x v="1"/>
    <x v="2"/>
    <s v="half of f minor cadence"/>
    <d v="2024-04-02T14:31:52"/>
    <d v="2024-04-02T15:06:52"/>
    <d v="1899-12-30T00:35:00"/>
    <n v="0"/>
    <n v="3"/>
    <n v="35"/>
    <x v="4"/>
    <n v="1"/>
    <d v="2024-04-02T00:00:00"/>
  </r>
  <r>
    <x v="1"/>
    <x v="2"/>
    <s v="Two drafts of rondo form for y's lullaby: second form is 16 part, ABACADAEADACABA. Good progressive theme orchestration. Relies on distinctive motivic material being present in b,c,d,e sections"/>
    <d v="2024-04-02T11:58:16"/>
    <d v="2024-04-02T12:51:45"/>
    <d v="1899-12-30T00:53:29"/>
    <n v="0"/>
    <n v="4.5"/>
    <n v="30"/>
    <x v="3"/>
    <n v="1"/>
    <d v="2024-04-02T00:00:00"/>
  </r>
  <r>
    <x v="1"/>
    <x v="2"/>
    <s v="finish chorale var away from piano"/>
    <d v="2024-04-02T09:57:33"/>
    <d v="2024-04-02T10:37:33"/>
    <d v="1899-12-30T00:40:00"/>
    <n v="0"/>
    <n v="3"/>
    <n v="40"/>
    <x v="3"/>
    <n v="1"/>
    <d v="2024-04-02T00:00:00"/>
  </r>
  <r>
    <x v="2"/>
    <x v="3"/>
    <s v="minor key cadence"/>
    <d v="2024-03-31T13:29:34"/>
    <d v="2024-03-31T14:32:27"/>
    <d v="1899-12-30T01:02:53"/>
    <n v="0"/>
    <n v="2"/>
    <n v="35"/>
    <x v="3"/>
    <n v="1"/>
    <d v="2024-03-31T00:00:00"/>
  </r>
  <r>
    <x v="2"/>
    <x v="3"/>
    <s v="2 measures of chorale variation accomp"/>
    <d v="2024-03-31T12:31:42"/>
    <d v="2024-03-31T13:21:42"/>
    <d v="1899-12-30T00:50:00"/>
    <n v="0"/>
    <n v="2"/>
    <n v="50"/>
    <x v="3"/>
    <n v="1"/>
    <d v="2024-03-31T00:00:00"/>
  </r>
  <r>
    <x v="2"/>
    <x v="4"/>
    <s v="play through schoenberg cadences ex 40 and write a single cadence in eb. Wow 2hr umm"/>
    <d v="2024-03-30T10:49:11"/>
    <d v="2024-03-30T12:48:26"/>
    <d v="1899-12-30T01:44:15"/>
    <n v="15"/>
    <n v="3"/>
    <n v="45"/>
    <x v="4"/>
    <n v="1"/>
    <d v="2024-03-30T00:00:00"/>
  </r>
  <r>
    <x v="2"/>
    <x v="5"/>
    <s v="learn in paradisum varition"/>
    <d v="2024-03-29T16:08:37"/>
    <d v="2024-03-29T16:43:37"/>
    <d v="1899-12-30T00:35:00"/>
    <n v="0"/>
    <n v="2"/>
    <n v="35"/>
    <x v="0"/>
    <n v="1"/>
    <d v="2024-03-29T00:00:00"/>
  </r>
  <r>
    <x v="2"/>
    <x v="5"/>
    <s v="first three bars of chorale accomp. With an intersting secondary dominant. Slow, but now I have a more clear way forward"/>
    <d v="2024-03-29T14:47:29"/>
    <d v="2024-03-29T15:33:03"/>
    <d v="1899-12-30T00:45:34"/>
    <n v="0"/>
    <n v="3"/>
    <n v="30"/>
    <x v="3"/>
    <n v="1"/>
    <d v="2024-03-29T00:00:00"/>
  </r>
  <r>
    <x v="2"/>
    <x v="5"/>
    <s v="get nothing done trying to get chorale voicings for variation"/>
    <d v="2024-03-29T13:30:59"/>
    <d v="2024-03-29T14:00:59"/>
    <d v="1899-12-30T00:30:00"/>
    <n v="0"/>
    <n v="1"/>
    <n v="30"/>
    <x v="3"/>
    <n v="1"/>
    <d v="2024-03-29T00:00:00"/>
  </r>
  <r>
    <x v="2"/>
    <x v="5"/>
    <s v="write fingerings for tannhauser overture brass chorale excerpt"/>
    <d v="2024-03-29T12:16:06"/>
    <d v="2024-03-29T13:04:01"/>
    <d v="1899-12-30T00:47:55"/>
    <n v="0"/>
    <n v="3"/>
    <n v="30"/>
    <x v="0"/>
    <n v="1"/>
    <d v="2024-03-29T00:00:00"/>
  </r>
  <r>
    <x v="2"/>
    <x v="6"/>
    <s v="Analyze var vii diabelli. Suspensions and pedal tones"/>
    <d v="2024-03-28T13:27:45"/>
    <d v="2024-03-28T14:27:45"/>
    <d v="1899-12-30T00:35:00"/>
    <n v="25"/>
    <n v="2"/>
    <n v="60"/>
    <x v="1"/>
    <n v="1"/>
    <d v="2024-03-28T00:00:00"/>
  </r>
  <r>
    <x v="2"/>
    <x v="6"/>
    <s v="analyse harmonies of diabelli theme and look at var xii"/>
    <d v="2024-03-28T12:16:25"/>
    <d v="2024-03-28T12:51:25"/>
    <d v="1899-12-30T00:35:00"/>
    <n v="0"/>
    <n v="3"/>
    <n v="35"/>
    <x v="1"/>
    <n v="1"/>
    <d v="2024-03-28T00:00:00"/>
  </r>
  <r>
    <x v="2"/>
    <x v="6"/>
    <s v="Learn thrme of diabelli variations"/>
    <d v="2024-03-28T10:22:50"/>
    <d v="2024-03-28T11:19:32"/>
    <d v="1899-12-30T00:56:42"/>
    <n v="0"/>
    <n v="4"/>
    <n v="45"/>
    <x v="0"/>
    <n v="1"/>
    <d v="2024-03-28T00:00:00"/>
  </r>
  <r>
    <x v="2"/>
    <x v="6"/>
    <s v="Write fingerings for in paradisum variation"/>
    <d v="2024-03-27T21:00:00"/>
    <d v="2024-03-27T21:35:27"/>
    <d v="1899-12-30T00:35:27"/>
    <n v="0"/>
    <n v="3"/>
    <n v="35"/>
    <x v="3"/>
    <n v="1"/>
    <d v="2024-03-28T00:00:00"/>
  </r>
  <r>
    <x v="3"/>
    <x v="7"/>
    <s v="Write top line for 3/4 chorale variation, tannhauser inspired? And first bar, 3 part (both hands bass clef 8ve down). "/>
    <d v="2024-03-26T13:32:48"/>
    <d v="2024-03-26T14:22:48"/>
    <d v="1899-12-30T00:50:00"/>
    <n v="0"/>
    <n v="4"/>
    <n v="50"/>
    <x v="3"/>
    <n v="1"/>
    <d v="2024-03-26T00:00:00"/>
  </r>
  <r>
    <x v="3"/>
    <x v="7"/>
    <s v="Complete in paradisum variation: tweak some notes and find ending that cadences to D major on extra measure: might work as a transition into the next variation. "/>
    <d v="2024-03-26T12:10:29"/>
    <d v="2024-03-26T12:59:56"/>
    <d v="1899-12-30T00:49:27"/>
    <n v="0"/>
    <n v="4"/>
    <n v="20"/>
    <x v="3"/>
    <n v="1"/>
    <d v="2024-03-26T00:00:00"/>
  </r>
  <r>
    <x v="3"/>
    <x v="7"/>
    <s v="Review piano excerpts, learn two new (haydn), and start on writing in fingerings for haydn 47b"/>
    <d v="2024-03-26T10:53:54"/>
    <d v="2024-03-26T11:40:58"/>
    <d v="1899-12-30T00:47:04"/>
    <n v="0"/>
    <n v="4"/>
    <n v="45"/>
    <x v="0"/>
    <n v="1"/>
    <d v="2024-03-26T00:00:00"/>
  </r>
  <r>
    <x v="3"/>
    <x v="7"/>
    <s v="Play through some chorale excerpts listed in Schoenberg's accompaniment chapter"/>
    <d v="2024-03-26T09:51:35"/>
    <d v="2024-03-26T10:34:14"/>
    <d v="1899-12-30T00:42:39"/>
    <n v="0"/>
    <n v="4"/>
    <n v="30"/>
    <x v="0"/>
    <n v="1"/>
    <d v="2024-03-26T00:00:00"/>
  </r>
  <r>
    <x v="3"/>
    <x v="8"/>
    <s v="Read through chapter VIII and look at some of the examples, taking notes in margins"/>
    <d v="2024-03-25T21:10:16"/>
    <d v="2024-03-25T21:45:16"/>
    <d v="1899-12-30T00:35:00"/>
    <n v="0"/>
    <n v="4"/>
    <n v="35"/>
    <x v="5"/>
    <n v="1"/>
    <d v="2024-03-25T00:00:00"/>
  </r>
  <r>
    <x v="3"/>
    <x v="8"/>
    <s v="Read through rest of  chapter VII schoenberg counterpoint: Gained some insight into suspensions and compared with bach sarabande, also have some questions about suspensions and weak beats (hierarchy of weak beats, their effect on the salience of the dissonance and or resolution of a suspension). Also, can suspensions of different meters occur close together, ie. one with half notes as the beats and another with quarter notes? Should this metrical shift be prepared in any way?"/>
    <d v="2024-03-25T20:02:39"/>
    <d v="2024-03-25T20:39:56"/>
    <d v="1899-12-30T00:37:17"/>
    <n v="0"/>
    <n v="4"/>
    <n v="30"/>
    <x v="5"/>
    <n v="1"/>
    <d v="2024-03-25T00:00:00"/>
  </r>
  <r>
    <x v="3"/>
    <x v="8"/>
    <s v="did not really focus, played a lot of excerpts for some reason instead. But played through some of the examples from schoenebrgs first compositional application chapter. not too convinced by his examples for harmonic ambiguity"/>
    <d v="2024-03-25T10:01:33"/>
    <d v="2024-03-25T10:58:24"/>
    <d v="1899-12-30T00:31:51"/>
    <n v="25"/>
    <n v="2"/>
    <n v="35"/>
    <x v="5"/>
    <n v="1"/>
    <d v="2024-03-25T00:00:00"/>
  </r>
  <r>
    <x v="3"/>
    <x v="8"/>
    <s v="Fix some measures of in paradisum varition and fill in missing acc. With mechanical repetition of intervals as best I could"/>
    <d v="2024-03-25T08:50:15"/>
    <d v="2024-03-25T09:47:44"/>
    <d v="1899-12-30T00:57:29"/>
    <n v="0"/>
    <n v="2"/>
    <n v="25"/>
    <x v="3"/>
    <n v="1"/>
    <d v="2024-03-25T00:00:00"/>
  </r>
  <r>
    <x v="3"/>
    <x v="9"/>
    <s v="Finish notating piano reduction of borodin str. Qtet no. 1 III harmonis section (ADLER 2-79)"/>
    <d v="2024-03-24T17:20:06"/>
    <d v="2024-03-24T18:07:28"/>
    <d v="1899-12-30T00:47:22"/>
    <n v="0"/>
    <n v="3"/>
    <n v="30"/>
    <x v="2"/>
    <n v="1"/>
    <d v="2024-03-24T00:00:00"/>
  </r>
  <r>
    <x v="3"/>
    <x v="9"/>
    <s v="Write analysis paragraph of Beethoven Op. 2/1-III."/>
    <d v="2024-03-24T15:52:59"/>
    <d v="2024-03-24T17:04:54"/>
    <d v="1899-12-30T01:06:55"/>
    <n v="5"/>
    <n v="2.5"/>
    <n v="30"/>
    <x v="1"/>
    <n v="1"/>
    <d v="2024-03-24T00:00:00"/>
  </r>
  <r>
    <x v="3"/>
    <x v="9"/>
    <s v="Transcribe yancy's lullaby"/>
    <d v="2024-03-24T13:49:47"/>
    <d v="2024-03-24T14:34:47"/>
    <d v="1899-12-30T00:45:00"/>
    <n v="0"/>
    <n v="4"/>
    <n v="45"/>
    <x v="3"/>
    <n v="1"/>
    <d v="2024-03-24T00:00:00"/>
  </r>
  <r>
    <x v="3"/>
    <x v="9"/>
    <s v="Write violin harmonics piece"/>
    <d v="2024-03-24T09:00:00"/>
    <d v="2024-03-24T09:45:00"/>
    <d v="1899-12-30T00:38:00"/>
    <n v="7"/>
    <n v="3.5"/>
    <n v="35"/>
    <x v="2"/>
    <n v="1"/>
    <d v="2024-03-24T00:00:00"/>
  </r>
  <r>
    <x v="4"/>
    <x v="10"/>
    <s v="Writing out borodin string qtet from adler"/>
    <d v="2024-03-22T12:57:06"/>
    <d v="2024-03-22T13:32:06"/>
    <d v="1899-12-30T00:35:00"/>
    <n v="0"/>
    <n v="4"/>
    <n v="35"/>
    <x v="2"/>
    <n v="1"/>
    <d v="2024-03-22T00:00:00"/>
  </r>
  <r>
    <x v="4"/>
    <x v="10"/>
    <s v="beethoven septet scherzo and good work on brahms cello sonata"/>
    <d v="2024-03-22T12:03:24"/>
    <d v="2024-03-22T12:23:24"/>
    <d v="1899-12-30T00:20:00"/>
    <n v="0"/>
    <n v="5"/>
    <n v="20"/>
    <x v="0"/>
    <n v="1"/>
    <d v="2024-03-22T00:00:00"/>
  </r>
  <r>
    <x v="4"/>
    <x v="10"/>
    <s v="Edit 2 analysis paragraphs based on corrections: Bach sarabande and haydn 10 bar period (string quartet)"/>
    <d v="2024-03-22T11:37:54"/>
    <d v="2024-03-22T11:57:54"/>
    <d v="1899-12-30T00:20:00"/>
    <n v="0"/>
    <n v="5"/>
    <n v="20"/>
    <x v="1"/>
    <n v="1"/>
    <d v="2024-03-22T00:00:00"/>
  </r>
  <r>
    <x v="4"/>
    <x v="10"/>
    <s v="new largo variation version, entire right hand. Added eight note triplets in bar 8, slows to quarter note triplets in bars 13 and 14"/>
    <d v="2024-03-22T10:53:10"/>
    <d v="2024-03-22T11:27:02"/>
    <d v="1899-12-30T00:33:52"/>
    <n v="0"/>
    <n v="4"/>
    <n v="30"/>
    <x v="3"/>
    <n v="1"/>
    <d v="2024-03-22T00:00:00"/>
  </r>
  <r>
    <x v="4"/>
    <x v="10"/>
    <s v="Play through in paradisum variation, fix last couple measures, still need to rewrite left hand in 10-12, and maybe remove the hand crossing that appears still in 13"/>
    <d v="2024-03-22T10:13:10"/>
    <d v="2024-03-22T10:43:10"/>
    <d v="1899-12-30T00:30:00"/>
    <n v="0"/>
    <n v="3.5"/>
    <n v="30"/>
    <x v="3"/>
    <n v="1"/>
    <d v="2024-03-22T00:00:00"/>
  </r>
  <r>
    <x v="4"/>
    <x v="10"/>
    <s v="Review excerpts, mostly memorize 46a beethoven septet op 20 IV excerpt"/>
    <d v="2024-03-22T09:19:40"/>
    <d v="2024-03-22T09:59:40"/>
    <d v="1899-12-30T00:40:00"/>
    <n v="0"/>
    <n v="4"/>
    <n v="40"/>
    <x v="0"/>
    <n v="1"/>
    <d v="2024-03-22T00:00:00"/>
  </r>
  <r>
    <x v="4"/>
    <x v="11"/>
    <s v="Complete left hand in paradisum variation, no piano (sitting in a park)"/>
    <d v="2024-03-21T17:47:00"/>
    <d v="2024-03-21T18:17:00"/>
    <d v="1899-12-30T00:30:00"/>
    <n v="0"/>
    <n v="3"/>
    <n v="30"/>
    <x v="3"/>
    <n v="1"/>
    <d v="2024-03-21T00:00:00"/>
  </r>
  <r>
    <x v="4"/>
    <x v="11"/>
    <s v="Complete 7 bars of left hand, in paradisum variation, no piano except to check a few notes. I think it might be good to have the voices cross near the end when the right hand goes super low, but have them end low together."/>
    <d v="2024-03-21T14:29:25"/>
    <d v="2024-03-21T15:03:54"/>
    <d v="1899-12-30T00:34:29"/>
    <n v="0"/>
    <n v="4"/>
    <n v="30"/>
    <x v="3"/>
    <n v="1"/>
    <d v="2024-03-21T00:00:00"/>
  </r>
  <r>
    <x v="4"/>
    <x v="11"/>
    <s v="analysis paragraph schuber 47a op 42-I"/>
    <d v="2024-03-21T13:48:33"/>
    <d v="2024-03-21T14:19:03"/>
    <d v="1899-12-30T00:30:30"/>
    <n v="0"/>
    <n v="4"/>
    <n v="25"/>
    <x v="1"/>
    <n v="1"/>
    <d v="2024-03-21T00:00:00"/>
  </r>
  <r>
    <x v="4"/>
    <x v="11"/>
    <s v="Piano review: beethoven septet, new schubert 47a"/>
    <d v="2024-03-21T12:54:30"/>
    <d v="2024-03-21T13:29:30"/>
    <d v="1899-12-30T00:35:00"/>
    <n v="0"/>
    <n v="4"/>
    <n v="35"/>
    <x v="0"/>
    <n v="1"/>
    <d v="2024-03-21T00:00:00"/>
  </r>
  <r>
    <x v="4"/>
    <x v="11"/>
    <s v="Finish fix below 38, sing through both 38 exercises"/>
    <d v="2024-03-21T12:32:37"/>
    <d v="2024-03-21T12:47:37"/>
    <d v="1899-12-30T00:15:00"/>
    <n v="0"/>
    <n v="5"/>
    <n v="15"/>
    <x v="4"/>
    <n v="1"/>
    <d v="2024-03-21T00:00:00"/>
  </r>
  <r>
    <x v="4"/>
    <x v="11"/>
    <s v="Fix solution above minor mixed species ex. 38, also tweak below 37, and first couple measures below ex. 38"/>
    <d v="2024-03-21T11:45:01"/>
    <d v="2024-03-21T12:22:51"/>
    <d v="1899-12-30T00:37:50"/>
    <n v="0"/>
    <n v="4"/>
    <n v="30"/>
    <x v="4"/>
    <n v="1"/>
    <d v="2024-03-21T00:00:00"/>
  </r>
  <r>
    <x v="4"/>
    <x v="11"/>
    <s v="Fix solutions below 35 and 37, took a while to try to avoid intermittent fifths in 37 and still have a somewhat interesting line"/>
    <d v="2024-03-21T10:47:55"/>
    <d v="2024-03-21T11:33:28"/>
    <d v="1899-12-30T00:43:33"/>
    <n v="2"/>
    <n v="4"/>
    <n v="35"/>
    <x v="4"/>
    <n v="1"/>
    <d v="2024-03-21T00:00:00"/>
  </r>
  <r>
    <x v="4"/>
    <x v="11"/>
    <s v="Write last 8 bars of in paradisum variation right hand. happy with the climax high e on bar 9 downbeat, but not sure if I should break up the 8th note rhythm somewhere else or if the descent to d4 by the end is too quick?"/>
    <d v="2024-03-21T10:02:15"/>
    <d v="2024-03-21T10:37:15"/>
    <d v="1899-12-30T00:33:00"/>
    <n v="2"/>
    <n v="5"/>
    <n v="35"/>
    <x v="3"/>
    <n v="1"/>
    <d v="2024-03-21T00:00:00"/>
  </r>
  <r>
    <x v="4"/>
    <x v="12"/>
    <s v="to bar 9 in in paradisum variation, mega high e, added dotted quarter rhythm, slowing down but also accentuating climax. The high e on beat 9 is probably the overall climax of the variation."/>
    <d v="2024-03-21T19:52:00"/>
    <d v="2024-03-21T20:30:00"/>
    <d v="1899-12-30T00:38:00"/>
    <n v="0"/>
    <n v="4"/>
    <n v="30"/>
    <x v="3"/>
    <n v="1"/>
    <d v="2024-03-20T00:00:00"/>
  </r>
  <r>
    <x v="4"/>
    <x v="12"/>
    <s v="Sing and write In paradisum Variation, 4 new bars r.h"/>
    <d v="2024-03-21T19:12:00"/>
    <d v="2024-03-21T19:42:00"/>
    <d v="1899-12-30T00:27:00"/>
    <n v="3"/>
    <n v="3"/>
    <n v="30"/>
    <x v="3"/>
    <n v="1"/>
    <d v="2024-03-20T00:00:00"/>
  </r>
  <r>
    <x v="4"/>
    <x v="12"/>
    <s v="Learn offset variation and part of in paradisum on piano, not very well.."/>
    <d v="2024-03-21T17:31:00"/>
    <d v="2024-03-21T17:56:00"/>
    <d v="1899-12-30T00:25:00"/>
    <n v="0"/>
    <n v="2.5"/>
    <n v="30"/>
    <x v="3"/>
    <n v="1"/>
    <d v="2024-03-20T00:00:00"/>
  </r>
  <r>
    <x v="4"/>
    <x v="12"/>
    <s v="Chords in Schubert 46b"/>
    <d v="2024-03-21T09:00:20"/>
    <d v="2024-03-21T09:30:20"/>
    <d v="1899-12-30T00:30:00"/>
    <n v="0"/>
    <n v="4"/>
    <n v="30"/>
    <x v="0"/>
    <n v="1"/>
    <d v="2024-03-20T00:00:00"/>
  </r>
  <r>
    <x v="5"/>
    <x v="13"/>
    <s v="Start writing out borodin string quartet- sidetracked by how natural harmonics work, why a major 6th natural harmonix is same as major 3rd (both 1/5 multiples): major 6th is 5/3 so 1-3/5=2/5 way up the string?"/>
    <d v="2024-03-19T13:57:30"/>
    <d v="2024-03-19T14:27:30"/>
    <d v="1899-12-30T00:24:00"/>
    <n v="6"/>
    <n v="3"/>
    <n v="30"/>
    <x v="2"/>
    <n v="1"/>
    <d v="2024-03-19T00:00:00"/>
  </r>
  <r>
    <x v="5"/>
    <x v="13"/>
    <s v="47a, schubert, fingerings and focused pracrtice on chords both hands"/>
    <d v="2024-03-19T12:20:22"/>
    <d v="2024-03-19T12:50:22"/>
    <d v="1899-12-30T00:30:00"/>
    <n v="0"/>
    <n v="4"/>
    <n v="30"/>
    <x v="0"/>
    <n v="1"/>
    <d v="2024-03-19T00:00:00"/>
  </r>
  <r>
    <x v="5"/>
    <x v="13"/>
    <s v="Complete right hand for largo variation, left hand maybe triplets? Following the contour range (going up in second 4)"/>
    <d v="2024-03-19T11:43:20"/>
    <d v="2024-03-19T12:13:20"/>
    <d v="1899-12-30T00:30:00"/>
    <n v="0"/>
    <n v="4"/>
    <n v="30"/>
    <x v="3"/>
    <n v="1"/>
    <d v="2024-03-19T00:00:00"/>
  </r>
  <r>
    <x v="5"/>
    <x v="13"/>
    <s v="Fingerings and start practice 46b beethoven septet scherzo op 20"/>
    <d v="2024-03-19T11:02:02"/>
    <d v="2024-03-19T11:32:02"/>
    <d v="1899-12-30T00:30:00"/>
    <n v="0"/>
    <n v="4"/>
    <n v="30"/>
    <x v="0"/>
    <n v="1"/>
    <d v="2024-03-19T00:00:00"/>
  </r>
  <r>
    <x v="5"/>
    <x v="13"/>
    <s v="First eight bars of largo variation right hand (no piano), good overall shape of line I think."/>
    <d v="2024-03-19T10:04:14"/>
    <d v="2024-03-19T10:49:14"/>
    <d v="1899-12-30T00:45:00"/>
    <n v="0"/>
    <n v="4"/>
    <n v="45"/>
    <x v="3"/>
    <n v="1"/>
    <d v="2024-03-19T00:00:00"/>
  </r>
  <r>
    <x v="5"/>
    <x v="14"/>
    <s v="One above and below 64 ex. 38"/>
    <d v="2024-03-18T21:06:44"/>
    <d v="2024-03-18T21:34:18"/>
    <d v="1899-12-30T00:27:34"/>
    <n v="0"/>
    <n v="4"/>
    <n v="35"/>
    <x v="4"/>
    <n v="1"/>
    <d v="2024-03-18T00:00:00"/>
  </r>
  <r>
    <x v="5"/>
    <x v="14"/>
    <s v="One above one below 3/4 minor"/>
    <d v="2024-03-18T20:20:12"/>
    <d v="2024-03-18T20:55:12"/>
    <d v="1899-12-30T00:35:00"/>
    <n v="0"/>
    <n v="4"/>
    <n v="35"/>
    <x v="4"/>
    <n v="1"/>
    <d v="2024-03-18T00:00:00"/>
  </r>
  <r>
    <x v="5"/>
    <x v="14"/>
    <s v="In paradisum variation, high C natural in bar 9, to hit high c sharp and d in last couple bars? Only got a couple bars done…"/>
    <d v="2024-03-18T16:50:36"/>
    <d v="2024-03-18T18:05:54"/>
    <d v="1899-12-30T01:15:18"/>
    <n v="0"/>
    <n v="3"/>
    <n v="35"/>
    <x v="3"/>
    <n v="1"/>
    <d v="2024-03-18T00:00:00"/>
  </r>
  <r>
    <x v="5"/>
    <x v="14"/>
    <s v="Practice beethoven septet excerpt"/>
    <d v="2024-03-18T11:00:01"/>
    <d v="2024-03-18T11:16:52"/>
    <d v="1899-12-30T00:16:51"/>
    <n v="0"/>
    <n v="4"/>
    <n v="20"/>
    <x v="0"/>
    <n v="1"/>
    <d v="2024-03-18T00:00:00"/>
  </r>
  <r>
    <x v="5"/>
    <x v="14"/>
    <s v="Analysis paragraph of Ex. 46, Beethoven Septet Op.20-IV parallel double period"/>
    <d v="2024-03-18T10:15:10"/>
    <d v="2024-03-18T10:47:19"/>
    <d v="1899-12-30T00:32:09"/>
    <n v="0"/>
    <n v="4"/>
    <n v="25"/>
    <x v="1"/>
    <n v="1"/>
    <d v="2024-03-18T00:00:00"/>
  </r>
  <r>
    <x v="5"/>
    <x v="14"/>
    <s v="Two more measures of In paradisum using the piano (very slow)"/>
    <d v="2024-03-18T08:53:19"/>
    <d v="2024-03-18T09:55:51"/>
    <d v="1899-12-30T01:02:32"/>
    <n v="0"/>
    <n v="2.5"/>
    <n v="35"/>
    <x v="3"/>
    <n v="1"/>
    <d v="2024-03-18T00:00:00"/>
  </r>
  <r>
    <x v="5"/>
    <x v="14"/>
    <s v="RETROACTIVE LOG: I wrote two measures on the In Paradisum variation using the piano (slow) last night"/>
    <d v="2024-03-18T08:16:19"/>
    <d v="2024-03-18T08:51:19"/>
    <d v="1899-12-30T00:35:00"/>
    <n v="0"/>
    <n v="3"/>
    <n v="35"/>
    <x v="3"/>
    <n v="1"/>
    <d v="2024-03-18T00:00:00"/>
  </r>
  <r>
    <x v="5"/>
    <x v="14"/>
    <s v="RETROACTIVE LOG: I wrote the mixed species above and below and read the accompaniment chapter, log was not saved last night"/>
    <d v="2024-03-18T08:05:13"/>
    <d v="2024-03-18T08:50:13"/>
    <d v="1899-12-30T00:45:00"/>
    <n v="0"/>
    <n v="3"/>
    <n v="45"/>
    <x v="4"/>
    <n v="1"/>
    <d v="2024-03-18T00:00:00"/>
  </r>
  <r>
    <x v="5"/>
    <x v="15"/>
    <s v="Practice brahms cello sonata excerpt. Focused"/>
    <d v="2024-03-17T16:07:07"/>
    <d v="2024-03-17T16:22:07"/>
    <d v="1899-12-30T00:15:00"/>
    <n v="0"/>
    <n v="4"/>
    <n v="15"/>
    <x v="0"/>
    <n v="1"/>
    <d v="2024-03-17T00:00:00"/>
  </r>
  <r>
    <x v="5"/>
    <x v="15"/>
    <s v="One above and below fourth species (half note suspensions)."/>
    <d v="2024-03-17T15:31:17"/>
    <d v="2024-03-17T16:03:24"/>
    <d v="1899-12-30T00:32:07"/>
    <n v="0"/>
    <n v="4"/>
    <n v="30"/>
    <x v="4"/>
    <n v="1"/>
    <d v="2024-03-17T00:00:00"/>
  </r>
  <r>
    <x v="5"/>
    <x v="15"/>
    <s v="one above third species minor. A bit slow"/>
    <d v="2024-03-17T14:51:03"/>
    <d v="2024-03-17T15:25:13"/>
    <d v="1899-12-30T00:34:10"/>
    <n v="0"/>
    <n v="4"/>
    <n v="30"/>
    <x v="4"/>
    <n v="1"/>
    <d v="2024-03-17T00:00:00"/>
  </r>
  <r>
    <x v="5"/>
    <x v="15"/>
    <s v="above and below second species minor"/>
    <d v="2024-03-17T14:14:07"/>
    <d v="2024-03-17T14:44:07"/>
    <d v="1899-12-30T00:30:00"/>
    <n v="0"/>
    <n v="3.5"/>
    <n v="30"/>
    <x v="4"/>
    <n v="1"/>
    <d v="2024-03-17T00:00:00"/>
  </r>
  <r>
    <x v="5"/>
    <x v="15"/>
    <s v="above and below first species minor: both solutions are the same except m. 6. Tried finding another but was taking very long"/>
    <d v="2024-03-17T13:20:58"/>
    <d v="2024-03-17T14:07:01"/>
    <d v="1899-12-30T00:46:03"/>
    <n v="0"/>
    <n v="3"/>
    <n v="30"/>
    <x v="4"/>
    <n v="1"/>
    <d v="2024-03-17T00:00:00"/>
  </r>
  <r>
    <x v="5"/>
    <x v="15"/>
    <s v="Read minor counterpoint chapter and play a few examples. Zoned out"/>
    <d v="2024-03-17T12:05:33"/>
    <d v="2024-03-17T13:13:46"/>
    <d v="1899-12-30T00:43:13"/>
    <n v="25"/>
    <n v="1"/>
    <s v="none"/>
    <x v="5"/>
    <n v="1"/>
    <d v="2024-03-17T00:00:00"/>
  </r>
  <r>
    <x v="6"/>
    <x v="16"/>
    <s v="Sing counterpoint solutions, both lines. Helps also to sing only CF and audiate/imagine the counterpoint above/below. Also could try other way around. Miming on piano is interesting too."/>
    <d v="2024-03-15T14:10:36"/>
    <d v="2024-03-15T14:23:01"/>
    <d v="1899-12-30T00:12:25"/>
    <n v="0"/>
    <n v="4"/>
    <n v="20"/>
    <x v="4"/>
    <n v="1"/>
    <d v="2024-03-15T00:00:00"/>
  </r>
  <r>
    <x v="6"/>
    <x v="16"/>
    <s v="-"/>
    <d v="2024-03-15T13:39:54"/>
    <d v="2024-03-15T13:59:54"/>
    <d v="1899-12-30T00:20:00"/>
    <n v="0"/>
    <n v="4"/>
    <n v="20"/>
    <x v="2"/>
    <n v="1"/>
    <d v="2024-03-15T00:00:00"/>
  </r>
  <r>
    <x v="6"/>
    <x v="16"/>
    <s v="Write paragraph on Mozart Piano Sonata K.V.279-III and begin harmonic analysis of Beethoven Septet Op. 20-IV"/>
    <d v="2024-03-15T13:10:50"/>
    <d v="2024-03-15T13:30:50"/>
    <d v="1899-12-30T00:20:00"/>
    <n v="0"/>
    <n v="4"/>
    <n v="20"/>
    <x v="1"/>
    <n v="1"/>
    <d v="2024-03-15T00:00:00"/>
  </r>
  <r>
    <x v="6"/>
    <x v="16"/>
    <s v="Fingerings for Bach string quartet and mozart Bb piano sonata excerpts: working on trill timing for mozart"/>
    <d v="2024-03-15T12:26:33"/>
    <d v="2024-03-15T12:56:33"/>
    <d v="1899-12-30T00:30:00"/>
    <n v="0"/>
    <n v="4"/>
    <n v="30"/>
    <x v="0"/>
    <n v="1"/>
    <d v="2024-03-15T00:00:00"/>
  </r>
  <r>
    <x v="6"/>
    <x v="16"/>
    <s v="some review and start on haydn string quartet: no fingerings yet"/>
    <d v="2024-03-15T11:14:45"/>
    <d v="2024-03-15T11:34:45"/>
    <d v="1899-12-30T00:20:00"/>
    <n v="0"/>
    <n v="4"/>
    <n v="20"/>
    <x v="0"/>
    <n v="1"/>
    <d v="2024-03-15T00:00:00"/>
  </r>
  <r>
    <x v="6"/>
    <x v="16"/>
    <s v="Working on Brahms Cello sonata and then beethoven septet excerpts"/>
    <d v="2024-03-15T10:22:30"/>
    <d v="2024-03-15T10:50:30"/>
    <d v="1899-12-30T00:28:00"/>
    <n v="0"/>
    <n v="4"/>
    <n v="30"/>
    <x v="0"/>
    <n v="1"/>
    <d v="2024-03-15T00:00:00"/>
  </r>
  <r>
    <x v="6"/>
    <x v="16"/>
    <s v="Matis der Maler, first few measures practice. "/>
    <d v="2024-03-15T09:40:06"/>
    <d v="2024-03-15T10:10:06"/>
    <d v="1899-12-30T00:30:00"/>
    <n v="0"/>
    <n v="4"/>
    <n v="30"/>
    <x v="2"/>
    <n v="1"/>
    <d v="2024-03-15T00:00:00"/>
  </r>
  <r>
    <x v="6"/>
    <x v="16"/>
    <s v="Nearly complete in paradisum variation without piano, two bars missing in left hand. Sounds horrid !"/>
    <d v="2024-03-15T09:08:48"/>
    <d v="2024-03-15T09:33:48"/>
    <d v="1899-12-30T00:25:00"/>
    <n v="0"/>
    <n v="3"/>
    <n v="25"/>
    <x v="3"/>
    <n v="1"/>
    <d v="2024-03-15T00:00:00"/>
  </r>
  <r>
    <x v="6"/>
    <x v="16"/>
    <s v="Complete off beat variation without piano, look at continuing in paradisum variation"/>
    <d v="2024-03-15T08:40:48"/>
    <d v="2024-03-15T09:00:48"/>
    <d v="1899-12-30T00:20:00"/>
    <n v="0"/>
    <n v="4"/>
    <n v="20"/>
    <x v="3"/>
    <n v="1"/>
    <d v="2024-03-15T00:00:00"/>
  </r>
  <r>
    <x v="6"/>
    <x v="17"/>
    <s v="Write full right hand for offbeat variation without piano, and half of left hand. Just trying to include the main chord tones between the two hands. Tested&quot;&quot; on piano and sounds quite bad, but to be expected for the first draft since im not used to writing without piano- not hearing it i guess"/>
    <d v="2024-03-14T20:21:35"/>
    <d v="2024-03-14T21:02:23"/>
    <d v="1899-12-30T00:40:48"/>
    <n v="0"/>
    <n v="3"/>
    <n v="30"/>
    <x v="3"/>
    <n v="1"/>
    <d v="2024-03-14T00:00:00"/>
  </r>
  <r>
    <x v="6"/>
    <x v="17"/>
    <s v="&quot;attempt&quot; to write offbeat variation without piano: in reality, write exactly 3 notes (but I did realize that the harmony is not exactly correct, so I fix)."/>
    <d v="2024-03-14T13:12:20"/>
    <d v="2024-03-14T13:42:20"/>
    <d v="1899-12-30T00:30:00"/>
    <n v="0"/>
    <n v="2.5"/>
    <n v="30"/>
    <x v="3"/>
    <n v="1"/>
    <d v="2024-03-14T00:00:00"/>
  </r>
  <r>
    <x v="6"/>
    <x v="17"/>
    <s v="Write fingerings for Brahms cello sonata excerpt"/>
    <d v="2024-03-14T11:22:31"/>
    <d v="2024-03-14T11:47:31"/>
    <d v="1899-12-30T00:25:00"/>
    <n v="0"/>
    <n v="4"/>
    <n v="25"/>
    <x v="0"/>
    <n v="1"/>
    <d v="2024-03-14T11:27:31"/>
  </r>
  <r>
    <x v="6"/>
    <x v="17"/>
    <s v="Correct and sing through bottom line ex 31: notice that there are 4 measures of 6ths on consecutive downbeats (but approached by contrary motion across the barline). "/>
    <d v="2024-03-14T10:54:03"/>
    <d v="2024-03-14T11:14:03"/>
    <d v="1899-12-30T00:20:00"/>
    <n v="0"/>
    <n v="4"/>
    <n v="20"/>
    <x v="4"/>
    <n v="1"/>
    <d v="2024-03-14T00:00:00"/>
  </r>
  <r>
    <x v="6"/>
    <x v="17"/>
    <s v="Redo Bottom line ex. 30"/>
    <d v="2024-03-14T10:08:47"/>
    <d v="2024-03-14T10:45:36"/>
    <d v="1899-12-30T00:36:49"/>
    <n v="0"/>
    <n v="4"/>
    <n v="30"/>
    <x v="4"/>
    <n v="1"/>
    <d v="2024-03-14T00:00:00"/>
  </r>
  <r>
    <x v="6"/>
    <x v="17"/>
    <s v="Got to bar 9, but it really sounds quite terrible- some intervals I thought might work do not work even in the context of the moving line"/>
    <d v="2024-03-14T09:20:57"/>
    <d v="2024-03-14T09:55:57"/>
    <d v="1899-12-30T00:35:00"/>
    <n v="0"/>
    <n v="3"/>
    <n v="30"/>
    <x v="3"/>
    <n v="1"/>
    <d v="2024-03-14T00:00:00"/>
  </r>
  <r>
    <x v="6"/>
    <x v="17"/>
    <s v="Continue with in paradisum variation without piano- redid bars 3, 4, got to bar 6.5 ~."/>
    <d v="2024-03-14T08:37:29"/>
    <d v="2024-03-14T09:07:29"/>
    <d v="1899-12-30T00:30:00"/>
    <n v="0"/>
    <n v="4"/>
    <n v="30"/>
    <x v="3"/>
    <n v="1"/>
    <d v="2024-03-14T00:00:00"/>
  </r>
  <r>
    <x v="6"/>
    <x v="18"/>
    <s v="Second try: i cheated by seeing if a couple eighth notes work on the piano before starting but that's it. Ok lets see: not satisfied :( but I'll try to complete it later"/>
    <d v="2024-03-13T18:57:00"/>
    <d v="2024-03-13T19:22:00"/>
    <d v="1899-12-30T00:25:00"/>
    <n v="0"/>
    <n v="3"/>
    <n v="25"/>
    <x v="3"/>
    <n v="1"/>
    <d v="2024-03-13T00:00:00"/>
  </r>
  <r>
    <x v="6"/>
    <x v="18"/>
    <s v="Try to write out In paradisum without piano- got one bar but silly me tried it on piano and it is terrible so I cannot proceed with that but I will try again"/>
    <d v="2024-03-13T18:16:55"/>
    <d v="2024-03-13T18:41:55"/>
    <d v="1899-12-30T00:25:00"/>
    <n v="0"/>
    <n v="3"/>
    <n v="25"/>
    <x v="3"/>
    <n v="1"/>
    <d v="2024-03-13T00:00:00"/>
  </r>
  <r>
    <x v="6"/>
    <x v="18"/>
    <s v="internalize theme harmony"/>
    <d v="2024-03-13T17:40:12"/>
    <d v="2024-03-13T18:00:12"/>
    <d v="1899-12-30T00:20:00"/>
    <n v="0"/>
    <n v="4"/>
    <n v="20"/>
    <x v="3"/>
    <n v="1"/>
    <d v="2024-03-13T00:00:00"/>
  </r>
  <r>
    <x v="7"/>
    <x v="19"/>
    <s v="review known excerpts"/>
    <d v="2024-03-12T14:14:12"/>
    <d v="2024-03-12T14:26:12"/>
    <d v="1899-12-30T00:12:00"/>
    <n v="0"/>
    <n v="4"/>
    <n v="20"/>
    <x v="0"/>
    <n v="1"/>
    <d v="2024-03-12T00:00:00"/>
  </r>
  <r>
    <x v="7"/>
    <x v="19"/>
    <s v="Finish learning and memorize Gavotte: Use new method of looking at hands until make mistake, then look at music to recall. Afterwards, don't look at music at all and repeat hard sections without music"/>
    <d v="2024-03-12T13:40:43"/>
    <d v="2024-03-12T14:12:14"/>
    <d v="1899-12-30T00:31:31"/>
    <n v="0"/>
    <n v="4"/>
    <n v="30"/>
    <x v="0"/>
    <n v="1"/>
    <d v="2024-03-12T00:00:00"/>
  </r>
  <r>
    <x v="7"/>
    <x v="19"/>
    <s v="Mathis der Maler: finish piano reduction and write some fingerings, practice first few bars."/>
    <d v="2024-03-12T12:58:36"/>
    <d v="2024-03-12T13:28:36"/>
    <d v="1899-12-30T00:28:00"/>
    <n v="2"/>
    <n v="4"/>
    <n v="30"/>
    <x v="2"/>
    <n v="1"/>
    <d v="2024-03-12T00:00:00"/>
  </r>
  <r>
    <x v="7"/>
    <x v="19"/>
    <s v="Sing through own counterpoint solutions, practice singing both lines method."/>
    <d v="2024-03-12T12:26:52"/>
    <d v="2024-03-12T12:52:05"/>
    <d v="1899-12-30T00:25:13"/>
    <n v="0"/>
    <n v="4.5"/>
    <n v="20"/>
    <x v="4"/>
    <n v="1"/>
    <d v="2024-03-12T00:00:00"/>
  </r>
  <r>
    <x v="7"/>
    <x v="20"/>
    <s v="Analysis paragraph of haydn Ex 44a"/>
    <d v="2024-03-11T18:39:03"/>
    <d v="2024-03-11T19:02:42"/>
    <d v="1899-12-30T00:23:39"/>
    <n v="0"/>
    <n v="3.5"/>
    <n v="25"/>
    <x v="1"/>
    <n v="1"/>
    <d v="2024-03-11T00:00:00"/>
  </r>
  <r>
    <x v="7"/>
    <x v="20"/>
    <s v="did not focus on mathis der maler, played bach invention and tchaik excerpt instead"/>
    <d v="2024-03-11T17:59:37"/>
    <d v="2024-03-11T18:29:37"/>
    <d v="1899-12-30T00:30:00"/>
    <n v="0"/>
    <n v="1"/>
    <n v="30"/>
    <x v="2"/>
    <n v="1"/>
    <d v="2024-03-11T00:00:00"/>
  </r>
  <r>
    <x v="7"/>
    <x v="20"/>
    <s v="st matthew, haydn, and schubert memorization."/>
    <d v="2024-03-11T16:47:46"/>
    <d v="2024-03-11T17:22:46"/>
    <d v="1899-12-30T00:35:00"/>
    <n v="0"/>
    <n v="4"/>
    <n v="35"/>
    <x v="0"/>
    <n v="1"/>
    <d v="2024-03-11T00:00:00"/>
  </r>
  <r>
    <x v="7"/>
    <x v="20"/>
    <s v="st matthew last 8 bars, memorizing"/>
    <d v="2024-03-11T10:17:00"/>
    <d v="2024-03-11T10:57:37"/>
    <d v="1899-12-30T00:40:37"/>
    <n v="0"/>
    <n v="4"/>
    <n v="35"/>
    <x v="0"/>
    <n v="1"/>
    <d v="2024-03-11T00:00:00"/>
  </r>
  <r>
    <x v="7"/>
    <x v="20"/>
    <s v="two bars of eighth note double arpeggio variation, and not much else"/>
    <d v="2024-03-11T09:24:35"/>
    <d v="2024-03-11T10:00:36"/>
    <d v="1899-12-30T00:31:01"/>
    <n v="5"/>
    <n v="3"/>
    <n v="30"/>
    <x v="3"/>
    <n v="1"/>
    <d v="2024-03-11T00:00:00"/>
  </r>
  <r>
    <x v="7"/>
    <x v="21"/>
    <s v="Revision: Work on st matthew added voice, mostly."/>
    <d v="2024-03-10T20:13:27"/>
    <d v="2024-03-10T20:43:27"/>
    <d v="1899-12-30T00:30:00"/>
    <n v="0"/>
    <n v="3.5"/>
    <n v="30"/>
    <x v="0"/>
    <n v="1"/>
    <d v="2024-03-10T00:00:00"/>
  </r>
  <r>
    <x v="7"/>
    <x v="21"/>
    <s v="One above, one below ex 31, spent last 20 min correcting line below for parallels/intermittents and checking prev. lines also."/>
    <d v="2024-03-10T18:59:50"/>
    <d v="2024-03-10T20:05:42"/>
    <d v="1899-12-30T01:05:52"/>
    <n v="0"/>
    <n v="4"/>
    <n v="45"/>
    <x v="4"/>
    <n v="1"/>
    <d v="2024-03-10T00:00:00"/>
  </r>
  <r>
    <x v="7"/>
    <x v="21"/>
    <s v="One below ex 30"/>
    <d v="2024-03-10T18:10:19"/>
    <d v="2024-03-10T18:40:19"/>
    <d v="1899-12-30T00:30:00"/>
    <n v="0"/>
    <n v="4"/>
    <n v="30"/>
    <x v="4"/>
    <n v="1"/>
    <d v="2024-03-10T00:00:00"/>
  </r>
  <r>
    <x v="7"/>
    <x v="21"/>
    <s v="One above ex 30"/>
    <d v="2024-03-10T17:29:35"/>
    <d v="2024-03-10T18:03:39"/>
    <d v="1899-12-30T00:30:04"/>
    <n v="4"/>
    <n v="4"/>
    <n v="30"/>
    <x v="4"/>
    <n v="1"/>
    <d v="2024-03-10T00:00:00"/>
  </r>
  <r>
    <x v="7"/>
    <x v="21"/>
    <s v="read fifth species counterpoint chapter and play a few examples"/>
    <d v="2024-03-10T16:43:14"/>
    <d v="2024-03-10T17:18:16"/>
    <d v="1899-12-30T00:30:02"/>
    <n v="5"/>
    <n v="3"/>
    <n v="45"/>
    <x v="5"/>
    <n v="1"/>
    <d v="2024-03-10T00:00:00"/>
  </r>
  <r>
    <x v="7"/>
    <x v="21"/>
    <s v="left hand of new alto voice in st matthews, some haydn, and schubert"/>
    <d v="2024-03-10T11:39:47"/>
    <d v="2024-03-10T12:24:47"/>
    <d v="1899-12-30T00:45:00"/>
    <n v="0"/>
    <n v="4"/>
    <n v="45"/>
    <x v="0"/>
    <n v="1"/>
    <d v="2024-03-10T00:00:00"/>
  </r>
  <r>
    <x v="7"/>
    <x v="21"/>
    <s v="Go through excerpts, stopped at 44a haydn string quartet. Almost got it down"/>
    <d v="2024-03-10T10:53:03"/>
    <d v="2024-03-10T11:24:55"/>
    <d v="1899-12-30T00:31:52"/>
    <n v="0"/>
    <n v="4"/>
    <n v="30"/>
    <x v="0"/>
    <n v="1"/>
    <d v="2024-03-10T00:00:00"/>
  </r>
  <r>
    <x v="7"/>
    <x v="21"/>
    <s v="First four bars of off-beat variation w/ hand crossing"/>
    <d v="2024-03-10T09:57:27"/>
    <d v="2024-03-10T10:42:27"/>
    <d v="1899-12-30T00:35:00"/>
    <n v="10"/>
    <n v="3"/>
    <n v="45"/>
    <x v="3"/>
    <n v="1"/>
    <d v="2024-03-10T00:00:00"/>
  </r>
  <r>
    <x v="7"/>
    <x v="21"/>
    <s v="start on one treble countermelody variation with arpeggio inner voices. (quarter and eighth notes). "/>
    <d v="2024-03-10T08:48:58"/>
    <d v="2024-03-10T09:33:58"/>
    <d v="1899-12-30T00:45:00"/>
    <n v="0"/>
    <n v="3.5"/>
    <n v="45"/>
    <x v="3"/>
    <n v="1"/>
    <d v="2024-03-10T00:00:00"/>
  </r>
  <r>
    <x v="8"/>
    <x v="22"/>
    <s v="Wrote short paragraph on bach sarabande"/>
    <d v="2024-03-08T13:57:01"/>
    <d v="2024-03-08T14:21:09"/>
    <d v="1899-12-30T00:24:08"/>
    <n v="0"/>
    <n v="4"/>
    <n v="28"/>
    <x v="1"/>
    <n v="1"/>
    <d v="2024-03-08T00:00:00"/>
  </r>
  <r>
    <x v="8"/>
    <x v="22"/>
    <s v="Start learning Bach english suite gavotte: very good progress"/>
    <d v="2024-03-08T13:26:52"/>
    <d v="2024-03-08T13:57:00"/>
    <d v="1899-12-30T00:30:08"/>
    <n v="0"/>
    <n v="4.5"/>
    <n v="30"/>
    <x v="0"/>
    <n v="1"/>
    <d v="2024-03-08T00:00:00"/>
  </r>
  <r>
    <x v="8"/>
    <x v="22"/>
    <s v="One above, one below Ex 26. Maybe not enough suspensions in example below"/>
    <d v="2024-03-08T12:18:13"/>
    <d v="2024-03-08T13:11:57"/>
    <d v="1899-12-30T00:50:44"/>
    <n v="3"/>
    <n v="3"/>
    <n v="35"/>
    <x v="4"/>
    <n v="1"/>
    <d v="2024-03-08T00:00:00"/>
  </r>
  <r>
    <x v="8"/>
    <x v="22"/>
    <s v="Complete one above, one below Fourth species Ex. 28"/>
    <d v="2024-03-08T11:25:20"/>
    <d v="2024-03-08T12:05:52"/>
    <d v="1899-12-30T00:40:32"/>
    <n v="0"/>
    <n v="4"/>
    <n v="35"/>
    <x v="4"/>
    <n v="1"/>
    <d v="2024-03-08T00:00:00"/>
  </r>
  <r>
    <x v="8"/>
    <x v="22"/>
    <s v="Read fourth species  counterpoint chapter"/>
    <d v="2024-03-08T10:59:25"/>
    <d v="2024-03-08T11:18:36"/>
    <d v="1899-12-30T00:17:11"/>
    <n v="2"/>
    <n v="4"/>
    <n v="20"/>
    <x v="5"/>
    <n v="1"/>
    <d v="2024-03-08T00:00:00"/>
  </r>
  <r>
    <x v="8"/>
    <x v="22"/>
    <s v="add to prev. open chord block idea and two new ideas: 9/8 waltzy and largo w/ dotted rhythm."/>
    <d v="2024-03-08T10:05:35"/>
    <d v="2024-03-08T10:35:35"/>
    <d v="1899-12-30T00:30:00"/>
    <n v="0"/>
    <n v="4"/>
    <n v="30"/>
    <x v="3"/>
    <n v="1"/>
    <d v="2024-03-08T00:00:00"/>
  </r>
  <r>
    <x v="8"/>
    <x v="22"/>
    <s v="3 new variation ideas. "/>
    <d v="2024-03-08T08:59:40"/>
    <d v="2024-03-08T09:44:40"/>
    <d v="1899-12-30T00:45:00"/>
    <n v="0"/>
    <n v="3.5"/>
    <n v="45"/>
    <x v="3"/>
    <n v="1"/>
    <d v="2024-03-08T00:00:00"/>
  </r>
  <r>
    <x v="8"/>
    <x v="23"/>
    <s v="Finish writing down var _..  Took so long! But looks good"/>
    <d v="2024-03-07T11:18:33"/>
    <d v="2024-03-07T12:21:08"/>
    <d v="1899-12-30T01:02:35"/>
    <n v="0"/>
    <n v="3"/>
    <n v="45"/>
    <x v="3"/>
    <n v="1"/>
    <d v="2024-03-07T00:00:00"/>
  </r>
  <r>
    <x v="8"/>
    <x v="23"/>
    <s v="Finalize variation ending to match motive at beginning of piece and begin writing it down neatly."/>
    <d v="2024-03-07T10:27:27"/>
    <d v="2024-03-07T11:02:27"/>
    <d v="1899-12-30T00:35:00"/>
    <n v="0"/>
    <n v="3.5"/>
    <n v="35"/>
    <x v="3"/>
    <n v="1"/>
    <d v="2024-03-07T00:00:00"/>
  </r>
  <r>
    <x v="8"/>
    <x v="24"/>
    <s v="Complete variation _.. That im happy with. Bad with schedule today but back on it in the morning!"/>
    <d v="2024-03-06T21:24:53"/>
    <d v="2024-03-06T22:10:53"/>
    <d v="1899-12-30T00:46:00"/>
    <n v="0"/>
    <n v="4"/>
    <n v="35"/>
    <x v="3"/>
    <n v="1"/>
    <d v="2024-03-06T00:00:00"/>
  </r>
  <r>
    <x v="8"/>
    <x v="24"/>
    <s v="Tchaik Valse"/>
    <d v="2024-03-06T20:29:03"/>
    <d v="2024-03-06T20:59:03"/>
    <d v="1899-12-30T00:30:00"/>
    <n v="0"/>
    <n v="3"/>
    <n v="30"/>
    <x v="0"/>
    <n v="1"/>
    <d v="2024-03-06T00:00:00"/>
  </r>
  <r>
    <x v="9"/>
    <x v="25"/>
    <s v="Last 4 of _.. Var"/>
    <d v="2024-03-05T14:05:05"/>
    <d v="2024-03-05T14:25:05"/>
    <d v="1899-12-30T00:20:00"/>
    <n v="0"/>
    <m/>
    <n v="20"/>
    <x v="3"/>
    <n v="1"/>
    <d v="2024-03-05T00:00:00"/>
  </r>
  <r>
    <x v="9"/>
    <x v="25"/>
    <s v="Worked on various excerpts, haydn, bach"/>
    <d v="2024-03-05T13:30:26"/>
    <d v="2024-03-05T13:58:26"/>
    <d v="1899-12-30T00:28:00"/>
    <n v="0"/>
    <n v="4"/>
    <n v="30"/>
    <x v="0"/>
    <n v="1"/>
    <d v="2024-03-05T00:00:00"/>
  </r>
  <r>
    <x v="9"/>
    <x v="25"/>
    <s v="Sang through corrected ex. 25 and 26"/>
    <d v="2024-03-05T12:54:37"/>
    <d v="2024-03-05T13:24:37"/>
    <d v="1899-12-30T00:27:00"/>
    <n v="3"/>
    <n v="4"/>
    <n v="30"/>
    <x v="4"/>
    <n v="1"/>
    <d v="2024-03-05T00:00:00"/>
  </r>
  <r>
    <x v="9"/>
    <x v="25"/>
    <s v="Piano reduction of Tchaik 6 III and Mathis De Maler III excerpts"/>
    <d v="2024-03-05T12:06:01"/>
    <d v="2024-03-05T12:51:01"/>
    <d v="1899-12-30T00:45:00"/>
    <n v="0"/>
    <n v="4"/>
    <n v="50"/>
    <x v="2"/>
    <n v="1"/>
    <d v="2024-03-05T00:00:00"/>
  </r>
  <r>
    <x v="9"/>
    <x v="26"/>
    <s v="sarabande harmonies"/>
    <d v="2024-03-04T20:40:53"/>
    <d v="2024-03-04T21:25:53"/>
    <d v="1899-12-30T00:45:00"/>
    <n v="0"/>
    <n v="3"/>
    <n v="45"/>
    <x v="1"/>
    <n v="1"/>
    <d v="2024-03-04T00:00:00"/>
  </r>
  <r>
    <x v="9"/>
    <x v="26"/>
    <s v="Completed last 3 6/4 lines, ex. 26"/>
    <d v="2024-03-04T19:30:20"/>
    <d v="2024-03-04T20:15:20"/>
    <d v="1899-12-30T00:45:00"/>
    <n v="0"/>
    <n v="4"/>
    <n v="45"/>
    <x v="4"/>
    <n v="1"/>
    <d v="2024-03-04T00:00:00"/>
  </r>
  <r>
    <x v="9"/>
    <x v="26"/>
    <s v="slow start on variation work, some new ideas near the end, written down but unorganized."/>
    <d v="2024-03-04T17:50:46"/>
    <d v="2024-03-04T18:35:46"/>
    <d v="1899-12-30T00:45:00"/>
    <n v="0"/>
    <n v="2.5"/>
    <n v="45"/>
    <x v="3"/>
    <n v="1"/>
    <d v="2024-03-04T00:00:00"/>
  </r>
  <r>
    <x v="9"/>
    <x v="26"/>
    <s v="Correct previous lines in 3/2 and finish 1.5 lines w/ avoiding intermittent perfect consonances. Wondering how bad leaping to unison is."/>
    <d v="2024-03-04T10:22:25"/>
    <d v="2024-03-04T10:57:25"/>
    <d v="1899-12-30T00:35:00"/>
    <n v="0"/>
    <n v="4"/>
    <n v="35"/>
    <x v="4"/>
    <n v="1"/>
    <d v="2024-03-04T00:00:00"/>
  </r>
  <r>
    <x v="9"/>
    <x v="26"/>
    <s v="Sarabande and Haydn"/>
    <d v="2024-03-04T09:45:16"/>
    <d v="2024-03-04T10:15:16"/>
    <d v="1899-12-30T00:30:00"/>
    <n v="0"/>
    <n v="4"/>
    <n v="30"/>
    <x v="0"/>
    <n v="1"/>
    <d v="2024-03-04T00:00:00"/>
  </r>
  <r>
    <x v="9"/>
    <x v="26"/>
    <s v="Wrote new bar 7 that connects to beginning of variation motif, working on continuing the &quot;romeo and juliet line&quot; with some scalar lines. Found a complete ending but need to work out one transition. Still being too &quot;picky&quot;- next time to decide which bar to work on and write &gt;=10 versions to let flow and accept more ideas."/>
    <d v="2024-03-04T08:41:39"/>
    <d v="2024-03-04T09:31:39"/>
    <d v="1899-12-30T00:50:00"/>
    <n v="0"/>
    <n v="3"/>
    <n v="50"/>
    <x v="3"/>
    <n v="1"/>
    <d v="2024-03-04T00:00:00"/>
  </r>
  <r>
    <x v="9"/>
    <x v="27"/>
    <s v="Fixed ending of first line, completed 1.5 more. Looked in Schoenberg counterpoint to see that there really are no dissonant neighbor tones in any of his examples. Will research. -&gt; seems right, and even fux only allows cambiata and dissonant passing tones"/>
    <d v="2024-03-03T18:33:57"/>
    <d v="2024-03-03T19:25:34"/>
    <d v="1899-12-30T00:51:37"/>
    <n v="0"/>
    <n v="4"/>
    <n v="50"/>
    <x v="4"/>
    <n v="1"/>
    <d v="2024-03-03T00:00:00"/>
  </r>
  <r>
    <x v="9"/>
    <x v="27"/>
    <s v="Going through excerpts. Mozart, Haydn with the minor 9th, Nuages"/>
    <d v="2024-03-03T17:20:04"/>
    <d v="2024-03-03T18:05:04"/>
    <d v="1899-12-30T00:45:00"/>
    <n v="0"/>
    <n v="4"/>
    <n v="45"/>
    <x v="0"/>
    <n v="1"/>
    <d v="2024-03-03T00:00:00"/>
  </r>
  <r>
    <x v="9"/>
    <x v="27"/>
    <s v="Set up 2 cantus, 6/4 and 3/2, completed one line avoiding intermittent 5ths and 8ves."/>
    <d v="2024-03-03T16:14:14"/>
    <d v="2024-03-03T17:04:14"/>
    <d v="1899-12-30T00:50:00"/>
    <n v="0"/>
    <n v="3"/>
    <n v="50"/>
    <x v="4"/>
    <n v="1"/>
    <d v="2024-03-03T00:00:00"/>
  </r>
  <r>
    <x v="9"/>
    <x v="27"/>
    <s v="Worked on several excerpts. Not systematic enough with revising mistakes. "/>
    <d v="2024-03-03T14:54:22"/>
    <d v="2024-03-03T15:44:22"/>
    <d v="1899-12-30T00:50:00"/>
    <n v="0"/>
    <n v="3"/>
    <n v="50"/>
    <x v="0"/>
    <n v="1"/>
    <d v="2024-03-03T00:00:00"/>
  </r>
  <r>
    <x v="9"/>
    <x v="27"/>
    <s v="Spent most of the time making a document compiling all excerpts."/>
    <d v="2024-03-03T11:10:18"/>
    <d v="2024-03-03T12:03:18"/>
    <d v="1899-12-30T00:53:00"/>
    <n v="0"/>
    <n v="3"/>
    <n v="50"/>
    <x v="0"/>
    <n v="1"/>
    <d v="2024-03-03T00:00:00"/>
  </r>
  <r>
    <x v="9"/>
    <x v="27"/>
    <s v="Very picky this time, only a couple new ideas, but one that may transpose nicely and follows a better line (not so choppy). Have to accept more / all ideas next time. Or else it's slow and inefficient."/>
    <d v="2024-03-03T10:03:59"/>
    <d v="2024-03-03T10:53:59"/>
    <d v="1899-12-30T00:50:00"/>
    <n v="0"/>
    <n v="2"/>
    <n v="50"/>
    <x v="3"/>
    <n v="1"/>
    <d v="2024-03-03T00:00:00"/>
  </r>
  <r>
    <x v="9"/>
    <x v="27"/>
    <s v="Wrote ~7 new first bars, a couple two bar phrases of last 8 in _.. Variation (long short short). Also realized important melodic intervals in last 8 bars."/>
    <d v="2024-03-03T08:53:14"/>
    <d v="2024-03-03T09:43:14"/>
    <d v="1899-12-30T00:50:00"/>
    <n v="0"/>
    <n v="4"/>
    <n v="50"/>
    <x v="3"/>
    <n v="1"/>
    <d v="2024-03-03T00:00:00"/>
  </r>
  <r>
    <x v="10"/>
    <x v="28"/>
    <s v="Finish second complete var, similar to first, kinda wonky"/>
    <d v="2024-03-02T13:10:34"/>
    <d v="2024-03-02T14:00:34"/>
    <d v="1899-12-30T00:50:00"/>
    <n v="0"/>
    <n v="4"/>
    <n v="50"/>
    <x v="3"/>
    <n v="1"/>
    <d v="2024-03-02T00:00:00"/>
  </r>
  <r>
    <x v="10"/>
    <x v="28"/>
    <s v="Finished one complete variation, last measure harmony changes to G minor then Cad64."/>
    <d v="2024-03-02T09:19:21"/>
    <d v="2024-03-02T09:49:21"/>
    <d v="1899-12-30T00:30:00"/>
    <n v="0"/>
    <n v="4"/>
    <n v="30"/>
    <x v="3"/>
    <n v="1"/>
    <d v="2024-03-02T00:00:00"/>
  </r>
  <r>
    <x v="10"/>
    <x v="28"/>
    <s v="Start on completing two full 8 bar endings after recording a bit and set up staves, "/>
    <d v="2024-03-02T08:44:14"/>
    <d v="2024-03-02T09:14:14"/>
    <d v="1899-12-30T00:30:00"/>
    <n v="0"/>
    <n v="3"/>
    <n v="30"/>
    <x v="3"/>
    <n v="1"/>
    <d v="2024-03-02T00:00:00"/>
  </r>
  <r>
    <x v="10"/>
    <x v="29"/>
    <s v="Finished two lines above ex. 26 and one below."/>
    <d v="2024-02-29T21:04:42"/>
    <d v="2024-02-29T21:36:30"/>
    <d v="1899-12-30T00:31:48"/>
    <n v="0"/>
    <n v="5"/>
    <n v="25"/>
    <x v="4"/>
    <n v="1"/>
    <d v="2024-02-29T00:00:00"/>
  </r>
  <r>
    <x v="10"/>
    <x v="29"/>
    <s v="Mathis De Mahler. Difficulty: im-impossible. Just trying to write some fingerings in. maybe tristan chord? Polytonalisty?"/>
    <d v="2024-02-29T18:05:58"/>
    <d v="2024-02-29T18:25:58"/>
    <d v="1899-12-30T00:20:00"/>
    <n v="0"/>
    <n v="3.5"/>
    <n v="20"/>
    <x v="2"/>
    <n v="1"/>
    <d v="2024-02-29T00:00:00"/>
  </r>
  <r>
    <x v="10"/>
    <x v="29"/>
    <s v="Finished Ex. 25, started one line above ex. 26. Experimenting with strong beat passing note dissonance."/>
    <d v="2024-02-29T17:07:15"/>
    <d v="2024-02-29T17:57:56"/>
    <d v="1899-12-30T00:50:41"/>
    <n v="0"/>
    <n v="4"/>
    <n v="50"/>
    <x v="4"/>
    <n v="1"/>
    <d v="2024-02-29T00:00:00"/>
  </r>
  <r>
    <x v="10"/>
    <x v="29"/>
    <s v="Learned Mozart piano sonata excerpt 45a Just have to smooth the 'transitions'. Really feeling the frustration near the end and sitting with it. Trying to learn to enjoy frustration ;)"/>
    <d v="2024-02-29T15:53:02"/>
    <d v="2024-02-29T16:51:43"/>
    <d v="1899-12-30T00:58:41"/>
    <n v="0"/>
    <n v="4"/>
    <n v="50"/>
    <x v="0"/>
    <n v="1"/>
    <d v="2024-02-29T00:00:00"/>
  </r>
  <r>
    <x v="10"/>
    <x v="29"/>
    <s v="Found a couple similar continuations (first measure and a half, essentially, with lots of recorded material. However I got stuck on two or three options for too long."/>
    <d v="2024-02-29T14:24:27"/>
    <d v="2024-02-29T15:35:15"/>
    <d v="1899-12-30T01:00:48"/>
    <n v="10"/>
    <n v="2.5"/>
    <n v="50"/>
    <x v="3"/>
    <n v="1"/>
    <d v="2024-02-29T00:00:00"/>
  </r>
  <r>
    <x v="10"/>
    <x v="29"/>
    <s v="Finish ex 24, two lines above ex. 25. Took extra 10 min."/>
    <d v="2024-02-29T11:18:26"/>
    <d v="2024-02-29T12:19:27"/>
    <d v="1899-12-30T01:01:01"/>
    <n v="0"/>
    <n v="3"/>
    <n v="50"/>
    <x v="4"/>
    <n v="1"/>
    <d v="2024-02-29T00:00:00"/>
  </r>
  <r>
    <x v="10"/>
    <x v="29"/>
    <s v="Accidentally learned and analyzed the wrong haydn example for half an hour!, then began learning the proper one."/>
    <d v="2024-02-29T10:15:17"/>
    <d v="2024-02-29T11:08:17"/>
    <d v="1899-12-30T00:53:00"/>
    <n v="0"/>
    <n v="3"/>
    <n v="50"/>
    <x v="0"/>
    <n v="1"/>
    <d v="2024-02-29T00:00:00"/>
  </r>
  <r>
    <x v="10"/>
    <x v="29"/>
    <s v="Wrote out triple/compound cantus 24,25. comleted two above 24. but realized that the second is just a descending scale, got stuck for 10 min on that"/>
    <d v="2024-02-29T09:13:00"/>
    <d v="2024-02-29T10:03:00"/>
    <d v="1899-12-30T00:50:00"/>
    <n v="0"/>
    <n v="3.5"/>
    <n v="50"/>
    <x v="4"/>
    <n v="1"/>
    <d v="2024-02-29T00:00:00"/>
  </r>
  <r>
    <x v="10"/>
    <x v="30"/>
    <s v="Transcribe recordings of var and record a couple new (not very successful ones), start trying to sing variation and continuation while playing entire theme (this might be a good method for internalizing the structure more)."/>
    <d v="2024-02-28T18:20:23"/>
    <d v="2024-02-28T19:17:32"/>
    <d v="1899-12-30T00:57:09"/>
    <n v="0"/>
    <n v="3"/>
    <n v="50"/>
    <x v="3"/>
    <n v="1"/>
    <d v="2024-02-28T00:00:00"/>
  </r>
  <r>
    <x v="10"/>
    <x v="30"/>
    <s v="Worked on Sarabande, not super deliberate"/>
    <d v="2024-02-28T08:51:20"/>
    <d v="2024-02-28T09:25:25"/>
    <d v="1899-12-30T00:34:05"/>
    <n v="0"/>
    <n v="3"/>
    <n v="35"/>
    <x v="0"/>
    <n v="1"/>
    <d v="2024-02-28T00:00:00"/>
  </r>
  <r>
    <x v="11"/>
    <x v="31"/>
    <s v="1 above 1 below ex. 20"/>
    <d v="2024-02-27T13:55:08"/>
    <d v="2024-02-27T14:34:30"/>
    <d v="1899-12-30T00:39:22"/>
    <n v="0"/>
    <n v="2"/>
    <n v="30"/>
    <x v="4"/>
    <n v="1"/>
    <d v="2024-02-27T00:00:00"/>
  </r>
  <r>
    <x v="11"/>
    <x v="31"/>
    <s v="3 Lines, 2 below ex. 19, one above 20."/>
    <d v="2024-02-27T13:05:20"/>
    <d v="2024-02-27T13:52:14"/>
    <d v="1899-12-30T00:46:54"/>
    <n v="0"/>
    <n v="3"/>
    <n v="30"/>
    <x v="4"/>
    <n v="1"/>
    <d v="2024-02-27T00:00:00"/>
  </r>
  <r>
    <x v="11"/>
    <x v="32"/>
    <s v="Completed one line above cf"/>
    <d v="2024-02-26T21:35:45"/>
    <d v="2024-02-26T21:56:09"/>
    <d v="1899-12-30T00:15:24"/>
    <n v="5"/>
    <n v="2"/>
    <n v="20"/>
    <x v="4"/>
    <n v="1"/>
    <d v="2024-02-26T00:00:00"/>
  </r>
  <r>
    <x v="11"/>
    <x v="32"/>
    <s v="Wrote out 2 Cantus, only able to complete one line"/>
    <d v="2024-02-26T18:55:45"/>
    <d v="2024-02-26T19:32:53"/>
    <d v="1899-12-30T00:37:08"/>
    <n v="0"/>
    <n v="2"/>
    <n v="30"/>
    <x v="4"/>
    <n v="1"/>
    <d v="2024-02-26T00:00:00"/>
  </r>
  <r>
    <x v="11"/>
    <x v="32"/>
    <s v="wrote out the bassline for m. 9-12, basically just played the 16th note line from Friday over and over…"/>
    <d v="2024-02-26T18:15:05"/>
    <d v="2024-02-26T18:45:05"/>
    <d v="1899-12-30T00:30:00"/>
    <n v="0"/>
    <n v="1"/>
    <n v="30"/>
    <x v="3"/>
    <n v="1"/>
    <d v="2024-02-26T00:00:00"/>
  </r>
  <r>
    <x v="11"/>
    <x v="32"/>
    <s v="Sarabande Fingerings—lots of switching fingers to maintain long line. Feeling tired"/>
    <d v="2024-02-26T17:30:00"/>
    <d v="2024-02-26T18:03:42"/>
    <d v="1899-12-30T00:33:42"/>
    <n v="0"/>
    <n v="3"/>
    <n v="30"/>
    <x v="0"/>
    <n v="1"/>
    <d v="2024-02-26T00:00:00"/>
  </r>
  <r>
    <x v="11"/>
    <x v="33"/>
    <s v="Work on Tchaik 6 (Adler 29), Start on English Suite no. 1 Sarabande (slow start). "/>
    <d v="2024-02-25T17:46:21"/>
    <d v="2024-02-25T18:16:56"/>
    <d v="1899-12-30T00:30:35"/>
    <n v="0"/>
    <n v="2"/>
    <n v="30"/>
    <x v="0"/>
    <n v="1"/>
    <d v="2024-02-25T00:00:00"/>
  </r>
  <r>
    <x v="12"/>
    <x v="34"/>
    <s v="Tweak Variation "/>
    <d v="2024-02-23T13:40:00"/>
    <d v="2024-02-23T14:00:00"/>
    <d v="1899-12-30T00:20:00"/>
    <n v="0"/>
    <m/>
    <n v="20"/>
    <x v="3"/>
    <n v="2"/>
    <d v="2024-02-23T00:00:00"/>
  </r>
  <r>
    <x v="12"/>
    <x v="34"/>
    <s v="Bach, Tchaik"/>
    <d v="2024-02-23T12:59:24"/>
    <d v="2024-02-23T13:22:23"/>
    <d v="1899-12-30T00:22:59"/>
    <n v="0"/>
    <m/>
    <n v="20"/>
    <x v="0"/>
    <n v="1"/>
    <d v="2024-02-23T00:00:00"/>
  </r>
  <r>
    <x v="12"/>
    <x v="34"/>
    <s v="4 Slow Intros, Looked at Magic Flute overture, Read some Hepokoski and Darcy on Slow Intro"/>
    <d v="2024-02-23T12:18:59"/>
    <d v="2024-02-23T12:56:02"/>
    <d v="1899-12-30T00:29:03"/>
    <n v="8"/>
    <m/>
    <n v="30"/>
    <x v="1"/>
    <n v="1"/>
    <d v="2024-02-23T00:00:00"/>
  </r>
  <r>
    <x v="12"/>
    <x v="34"/>
    <s v="Pg 28 and 29, Singing grace notes, playing etc"/>
    <d v="2024-02-23T11:02:10"/>
    <d v="2024-02-23T11:34:16"/>
    <d v="1899-12-30T00:30:06"/>
    <n v="2"/>
    <m/>
    <n v="30"/>
    <x v="4"/>
    <n v="1"/>
    <d v="2024-02-23T00:00:00"/>
  </r>
  <r>
    <x v="12"/>
    <x v="34"/>
    <s v="Bach St. Matthew &amp; Tchaik (good progress on both)"/>
    <d v="2024-02-23T10:21:13"/>
    <d v="2024-02-23T10:51:13"/>
    <d v="1899-12-30T00:30:00"/>
    <n v="0"/>
    <m/>
    <n v="30"/>
    <x v="0"/>
    <n v="1"/>
    <d v="2024-02-23T00:00:00"/>
  </r>
  <r>
    <x v="12"/>
    <x v="35"/>
    <s v="Variation 1: Damn well at least it's something… but an hour and 10 minutes.."/>
    <d v="2024-02-22T19:31:18"/>
    <d v="2024-02-22T20:41:00"/>
    <d v="1899-12-30T01:09:42"/>
    <n v="0"/>
    <m/>
    <n v="30"/>
    <x v="3"/>
    <n v="1"/>
    <d v="2024-02-22T00:00:00"/>
  </r>
  <r>
    <x v="12"/>
    <x v="35"/>
    <s v="Adler 29: Tchaik (not much progress :()"/>
    <d v="2024-02-22T18:28:38"/>
    <d v="2024-02-22T18:58:00"/>
    <d v="1899-12-30T00:29:22"/>
    <n v="0"/>
    <m/>
    <n v="30"/>
    <x v="0"/>
    <n v="1"/>
    <d v="2024-02-22T00:00:00"/>
  </r>
  <r>
    <x v="12"/>
    <x v="35"/>
    <s v="Periods/Sentences: Very inefficient!!! BAD"/>
    <d v="2024-02-22T14:46:37"/>
    <d v="2024-02-22T15:41:45"/>
    <d v="1899-12-30T00:45:08"/>
    <n v="10"/>
    <m/>
    <n v="30"/>
    <x v="3"/>
    <n v="1"/>
    <d v="2024-02-22T00:00:00"/>
  </r>
  <r>
    <x v="12"/>
    <x v="35"/>
    <s v="Counterpoint singing:_x000a_Good progress, singing grace notes CF + line_x000a_and playing both lines"/>
    <d v="2024-02-22T14:00:13"/>
    <d v="2024-02-22T14:30:13"/>
    <d v="1899-12-30T00:30:00"/>
    <n v="0"/>
    <m/>
    <n v="30"/>
    <x v="4"/>
    <n v="1"/>
    <d v="2024-02-22T00:00:00"/>
  </r>
  <r>
    <x v="12"/>
    <x v="35"/>
    <s v="Review + Bach St Matthew Practice"/>
    <d v="2024-02-22T12:42:32"/>
    <d v="2024-02-22T13:12:04"/>
    <d v="1899-12-30T00:29:32"/>
    <n v="0"/>
    <m/>
    <n v="30"/>
    <x v="0"/>
    <n v="1"/>
    <d v="2024-02-22T00:00:00"/>
  </r>
  <r>
    <x v="12"/>
    <x v="35"/>
    <s v="4 Slow Intros"/>
    <d v="2024-02-22T10:53:17"/>
    <d v="2024-02-22T11:49:47"/>
    <d v="1899-12-30T00:41:30"/>
    <n v="15"/>
    <m/>
    <n v="30"/>
    <x v="1"/>
    <n v="1"/>
    <d v="2024-02-22T00:00:00"/>
  </r>
  <r>
    <x v="12"/>
    <x v="35"/>
    <s v="Variation 1: 4  measures"/>
    <d v="2024-02-22T10:14:22"/>
    <d v="2024-02-22T10:44:22"/>
    <d v="1899-12-30T00:30:00"/>
    <n v="0"/>
    <m/>
    <n v="30"/>
    <x v="3"/>
    <n v="1"/>
    <d v="2024-02-22T00:00:00"/>
  </r>
  <r>
    <x v="12"/>
    <x v="35"/>
    <s v="Review + Bach St Matthew Practice"/>
    <d v="2024-02-22T09:39:04"/>
    <d v="2024-02-22T10:09:04"/>
    <d v="1899-12-30T00:30:00"/>
    <n v="0"/>
    <m/>
    <n v="30"/>
    <x v="0"/>
    <n v="1"/>
    <d v="2024-02-22T00:00:00"/>
  </r>
  <r>
    <x v="12"/>
    <x v="36"/>
    <s v="Counterpoint: Singing both lines"/>
    <d v="2024-02-21T15:47:35"/>
    <d v="2024-02-21T16:19:56"/>
    <d v="1899-12-30T00:22:21"/>
    <n v="10"/>
    <m/>
    <n v="30"/>
    <x v="4"/>
    <n v="1"/>
    <d v="2024-02-21T00:00:00"/>
  </r>
  <r>
    <x v="12"/>
    <x v="36"/>
    <s v="Haydn, 12 and 19, start on st matthew _x000a_bach fingerings"/>
    <d v="2024-02-21T14:36:44"/>
    <d v="2024-02-21T15:23:11"/>
    <d v="1899-12-30T00:36:27"/>
    <n v="10"/>
    <m/>
    <n v="30"/>
    <x v="0"/>
    <n v="1"/>
    <d v="2024-02-21T00:00:00"/>
  </r>
  <r>
    <x v="12"/>
    <x v="36"/>
    <s v="Finish Bel Canto Fmajor period_x000a_Sentence based on theme"/>
    <d v="2024-02-21T12:02:35"/>
    <d v="2024-02-21T12:43:33"/>
    <d v="1899-12-30T00:40:58"/>
    <n v="0"/>
    <m/>
    <n v="30"/>
    <x v="3"/>
    <n v="1"/>
    <d v="2024-02-21T00:00:00"/>
  </r>
  <r>
    <x v="12"/>
    <x v="36"/>
    <s v="Variation 1"/>
    <d v="2024-02-21T10:54:02"/>
    <d v="2024-02-21T11:25:00"/>
    <d v="1899-12-30T00:30:58"/>
    <n v="0"/>
    <m/>
    <n v="30"/>
    <x v="3"/>
    <n v="1"/>
    <d v="2024-02-21T00:00:00"/>
  </r>
  <r>
    <x v="12"/>
    <x v="36"/>
    <s v="Counterpoint"/>
    <d v="2024-02-21T10:06:00"/>
    <d v="2024-02-21T10:36:00"/>
    <d v="1899-12-30T00:30:00"/>
    <n v="0"/>
    <m/>
    <n v="30"/>
    <x v="4"/>
    <n v="1"/>
    <d v="2024-02-21T00:00:00"/>
  </r>
  <r>
    <x v="12"/>
    <x v="36"/>
    <s v="Piano: Haydn, review"/>
    <d v="2024-02-21T08:57:00"/>
    <d v="2024-02-21T09:55:00"/>
    <d v="1899-12-30T00:48:00"/>
    <n v="10"/>
    <m/>
    <n v="30"/>
    <x v="0"/>
    <n v="1"/>
    <d v="2024-02-21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CC873E4-6906-DA4C-BF86-0B68507531AF}"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C1:BD15" firstHeaderRow="1" firstDataRow="1" firstDataCol="1"/>
  <pivotFields count="13">
    <pivotField axis="axisRow" numFmtId="1" showAll="0">
      <items count="14">
        <item x="12"/>
        <item x="11"/>
        <item x="10"/>
        <item x="9"/>
        <item x="8"/>
        <item x="7"/>
        <item x="6"/>
        <item x="5"/>
        <item x="4"/>
        <item x="3"/>
        <item x="0"/>
        <item x="1"/>
        <item x="2"/>
        <item t="default"/>
      </items>
    </pivotField>
    <pivotField showAll="0"/>
    <pivotField showAll="0"/>
    <pivotField numFmtId="165" showAll="0"/>
    <pivotField numFmtId="165" showAll="0"/>
    <pivotField numFmtId="168" showAll="0"/>
    <pivotField numFmtId="166" showAll="0"/>
    <pivotField dataField="1" showAll="0"/>
    <pivotField showAll="0"/>
    <pivotField showAll="0"/>
    <pivotField showAll="0"/>
    <pivotField showAll="0"/>
    <pivotField showAll="0" defaultSubtotal="0"/>
  </pivotFields>
  <rowFields count="1">
    <field x="0"/>
  </rowFields>
  <rowItems count="14">
    <i>
      <x/>
    </i>
    <i>
      <x v="1"/>
    </i>
    <i>
      <x v="2"/>
    </i>
    <i>
      <x v="3"/>
    </i>
    <i>
      <x v="4"/>
    </i>
    <i>
      <x v="5"/>
    </i>
    <i>
      <x v="6"/>
    </i>
    <i>
      <x v="7"/>
    </i>
    <i>
      <x v="8"/>
    </i>
    <i>
      <x v="9"/>
    </i>
    <i>
      <x v="10"/>
    </i>
    <i>
      <x v="11"/>
    </i>
    <i>
      <x v="12"/>
    </i>
    <i t="grand">
      <x/>
    </i>
  </rowItems>
  <colItems count="1">
    <i/>
  </colItems>
  <dataFields count="1">
    <dataField name="Average of RATING" fld="7"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6BCCEC6-ADD9-4740-BFDF-21D456D91BBE}"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A1:BB39" firstHeaderRow="1" firstDataRow="1" firstDataCol="1"/>
  <pivotFields count="13">
    <pivotField numFmtId="1" showAll="0"/>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numFmtId="165" showAll="0"/>
    <pivotField numFmtId="165" showAll="0"/>
    <pivotField numFmtId="168" showAll="0"/>
    <pivotField numFmtId="166" showAll="0"/>
    <pivotField dataField="1" showAll="0"/>
    <pivotField showAll="0"/>
    <pivotField showAll="0"/>
    <pivotField showAll="0"/>
    <pivotField showAll="0"/>
    <pivotField showAll="0" defaultSubtotal="0">
      <items count="14">
        <item sd="0" x="0"/>
        <item sd="0" x="1"/>
        <item x="2"/>
        <item x="3"/>
        <item sd="0" x="4"/>
        <item sd="0" x="5"/>
        <item sd="0" x="6"/>
        <item sd="0" x="7"/>
        <item sd="0" x="8"/>
        <item sd="0" x="9"/>
        <item sd="0" x="10"/>
        <item sd="0" x="11"/>
        <item sd="0" x="12"/>
        <item sd="0" x="13"/>
      </items>
    </pivotField>
  </pivotFields>
  <rowFields count="1">
    <field x="1"/>
  </rowFields>
  <rowItems count="38">
    <i>
      <x v="52"/>
    </i>
    <i>
      <x v="53"/>
    </i>
    <i>
      <x v="54"/>
    </i>
    <i>
      <x v="56"/>
    </i>
    <i>
      <x v="57"/>
    </i>
    <i>
      <x v="58"/>
    </i>
    <i>
      <x v="59"/>
    </i>
    <i>
      <x v="60"/>
    </i>
    <i>
      <x v="62"/>
    </i>
    <i>
      <x v="63"/>
    </i>
    <i>
      <x v="64"/>
    </i>
    <i>
      <x v="65"/>
    </i>
    <i>
      <x v="66"/>
    </i>
    <i>
      <x v="67"/>
    </i>
    <i>
      <x v="68"/>
    </i>
    <i>
      <x v="70"/>
    </i>
    <i>
      <x v="71"/>
    </i>
    <i>
      <x v="72"/>
    </i>
    <i>
      <x v="73"/>
    </i>
    <i>
      <x v="74"/>
    </i>
    <i>
      <x v="75"/>
    </i>
    <i>
      <x v="77"/>
    </i>
    <i>
      <x v="78"/>
    </i>
    <i>
      <x v="79"/>
    </i>
    <i>
      <x v="80"/>
    </i>
    <i>
      <x v="81"/>
    </i>
    <i>
      <x v="82"/>
    </i>
    <i>
      <x v="84"/>
    </i>
    <i>
      <x v="85"/>
    </i>
    <i>
      <x v="86"/>
    </i>
    <i>
      <x v="88"/>
    </i>
    <i>
      <x v="89"/>
    </i>
    <i>
      <x v="90"/>
    </i>
    <i>
      <x v="91"/>
    </i>
    <i>
      <x v="93"/>
    </i>
    <i>
      <x v="94"/>
    </i>
    <i>
      <x v="95"/>
    </i>
    <i t="grand">
      <x/>
    </i>
  </rowItems>
  <colItems count="1">
    <i/>
  </colItems>
  <dataFields count="1">
    <dataField name="Average of RATING" fld="7" subtotal="average"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71C6AE8-1DE5-7C4D-8A78-8E3C9794AAD7}"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W1:AX15" firstHeaderRow="1" firstDataRow="1" firstDataCol="1"/>
  <pivotFields count="13">
    <pivotField axis="axisRow" numFmtId="1" showAll="0">
      <items count="14">
        <item x="12"/>
        <item x="11"/>
        <item x="10"/>
        <item x="9"/>
        <item x="8"/>
        <item x="7"/>
        <item x="6"/>
        <item x="5"/>
        <item x="4"/>
        <item x="3"/>
        <item x="0"/>
        <item x="1"/>
        <item x="2"/>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numFmtId="165" showAll="0"/>
    <pivotField numFmtId="165" showAll="0"/>
    <pivotField numFmtId="168" showAll="0"/>
    <pivotField numFmtId="166" showAll="0"/>
    <pivotField dataField="1"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14">
    <i>
      <x/>
    </i>
    <i>
      <x v="1"/>
    </i>
    <i>
      <x v="2"/>
    </i>
    <i>
      <x v="3"/>
    </i>
    <i>
      <x v="4"/>
    </i>
    <i>
      <x v="5"/>
    </i>
    <i>
      <x v="6"/>
    </i>
    <i>
      <x v="7"/>
    </i>
    <i>
      <x v="8"/>
    </i>
    <i>
      <x v="9"/>
    </i>
    <i>
      <x v="10"/>
    </i>
    <i>
      <x v="11"/>
    </i>
    <i>
      <x v="12"/>
    </i>
    <i t="grand">
      <x/>
    </i>
  </rowItems>
  <colItems count="1">
    <i/>
  </colItems>
  <dataFields count="1">
    <dataField name="Average of RATING" fld="7"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9091E97-D0E8-D54F-9641-0AF9936D79C0}" name="PivotTable3"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O1:AV30" firstHeaderRow="1" firstDataRow="2" firstDataCol="1"/>
  <pivotFields count="13">
    <pivotField axis="axisRow" numFmtId="1" showAll="0" sortType="ascending">
      <items count="14">
        <item x="12"/>
        <item x="11"/>
        <item x="10"/>
        <item x="9"/>
        <item x="8"/>
        <item x="7"/>
        <item x="6"/>
        <item x="5"/>
        <item x="4"/>
        <item x="3"/>
        <item x="2"/>
        <item x="1"/>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numFmtId="165" showAll="0"/>
    <pivotField numFmtId="165" showAll="0"/>
    <pivotField dataField="1" numFmtId="168" showAll="0"/>
    <pivotField numFmtId="166" showAll="0"/>
    <pivotField showAll="0"/>
    <pivotField showAll="0"/>
    <pivotField axis="axisCol" showAll="0">
      <items count="7">
        <item n="Writing" x="3"/>
        <item n="Piano" x="0"/>
        <item n="Counterpoint" x="4"/>
        <item n="Analysis" x="1"/>
        <item n="Reading" x="5"/>
        <item n="Orchestration" x="2"/>
        <item t="default"/>
      </items>
    </pivotField>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0"/>
    <field x="12"/>
  </rowFields>
  <rowItems count="28">
    <i>
      <x/>
    </i>
    <i r="1">
      <x v="2"/>
    </i>
    <i>
      <x v="1"/>
    </i>
    <i r="1">
      <x v="2"/>
    </i>
    <i>
      <x v="2"/>
    </i>
    <i r="1">
      <x v="2"/>
    </i>
    <i r="1">
      <x v="3"/>
    </i>
    <i>
      <x v="3"/>
    </i>
    <i r="1">
      <x v="3"/>
    </i>
    <i>
      <x v="4"/>
    </i>
    <i r="1">
      <x v="3"/>
    </i>
    <i>
      <x v="5"/>
    </i>
    <i r="1">
      <x v="3"/>
    </i>
    <i>
      <x v="6"/>
    </i>
    <i r="1">
      <x v="3"/>
    </i>
    <i>
      <x v="7"/>
    </i>
    <i r="1">
      <x v="3"/>
    </i>
    <i>
      <x v="8"/>
    </i>
    <i r="1">
      <x v="3"/>
    </i>
    <i>
      <x v="9"/>
    </i>
    <i r="1">
      <x v="3"/>
    </i>
    <i>
      <x v="10"/>
    </i>
    <i r="1">
      <x v="3"/>
    </i>
    <i>
      <x v="11"/>
    </i>
    <i r="1">
      <x v="4"/>
    </i>
    <i>
      <x v="12"/>
    </i>
    <i r="1">
      <x v="4"/>
    </i>
    <i t="grand">
      <x/>
    </i>
  </rowItems>
  <colFields count="1">
    <field x="9"/>
  </colFields>
  <colItems count="7">
    <i>
      <x/>
    </i>
    <i>
      <x v="1"/>
    </i>
    <i>
      <x v="2"/>
    </i>
    <i>
      <x v="3"/>
    </i>
    <i>
      <x v="4"/>
    </i>
    <i>
      <x v="5"/>
    </i>
    <i t="grand">
      <x/>
    </i>
  </colItems>
  <dataFields count="1">
    <dataField name="Sum of LENGTH" fld="5" baseField="0" baseItem="0"/>
  </dataFields>
  <formats count="2">
    <format dxfId="1">
      <pivotArea collapsedLevelsAreSubtotals="1" fieldPosition="0">
        <references count="1">
          <reference field="0" count="0"/>
        </references>
      </pivotArea>
    </format>
    <format dxfId="0">
      <pivotArea grandRow="1" outline="0" collapsedLevelsAreSubtotals="1" fieldPosition="0"/>
    </format>
  </formats>
  <chartFormats count="12">
    <chartFormat chart="6" format="0" series="1">
      <pivotArea type="data" outline="0" fieldPosition="0">
        <references count="2">
          <reference field="4294967294" count="1" selected="0">
            <x v="0"/>
          </reference>
          <reference field="9" count="1" selected="0">
            <x v="0"/>
          </reference>
        </references>
      </pivotArea>
    </chartFormat>
    <chartFormat chart="6" format="1" series="1">
      <pivotArea type="data" outline="0" fieldPosition="0">
        <references count="2">
          <reference field="4294967294" count="1" selected="0">
            <x v="0"/>
          </reference>
          <reference field="9" count="1" selected="0">
            <x v="1"/>
          </reference>
        </references>
      </pivotArea>
    </chartFormat>
    <chartFormat chart="6" format="2" series="1">
      <pivotArea type="data" outline="0" fieldPosition="0">
        <references count="2">
          <reference field="4294967294" count="1" selected="0">
            <x v="0"/>
          </reference>
          <reference field="9" count="1" selected="0">
            <x v="2"/>
          </reference>
        </references>
      </pivotArea>
    </chartFormat>
    <chartFormat chart="6" format="3" series="1">
      <pivotArea type="data" outline="0" fieldPosition="0">
        <references count="2">
          <reference field="4294967294" count="1" selected="0">
            <x v="0"/>
          </reference>
          <reference field="9" count="1" selected="0">
            <x v="3"/>
          </reference>
        </references>
      </pivotArea>
    </chartFormat>
    <chartFormat chart="6" format="4" series="1">
      <pivotArea type="data" outline="0" fieldPosition="0">
        <references count="2">
          <reference field="4294967294" count="1" selected="0">
            <x v="0"/>
          </reference>
          <reference field="9" count="1" selected="0">
            <x v="4"/>
          </reference>
        </references>
      </pivotArea>
    </chartFormat>
    <chartFormat chart="6" format="5" series="1">
      <pivotArea type="data" outline="0" fieldPosition="0">
        <references count="2">
          <reference field="4294967294" count="1" selected="0">
            <x v="0"/>
          </reference>
          <reference field="9" count="1" selected="0">
            <x v="5"/>
          </reference>
        </references>
      </pivotArea>
    </chartFormat>
    <chartFormat chart="7" format="0" series="1">
      <pivotArea type="data" outline="0" fieldPosition="0">
        <references count="2">
          <reference field="4294967294" count="1" selected="0">
            <x v="0"/>
          </reference>
          <reference field="9" count="1" selected="0">
            <x v="0"/>
          </reference>
        </references>
      </pivotArea>
    </chartFormat>
    <chartFormat chart="7" format="1" series="1">
      <pivotArea type="data" outline="0" fieldPosition="0">
        <references count="2">
          <reference field="4294967294" count="1" selected="0">
            <x v="0"/>
          </reference>
          <reference field="9" count="1" selected="0">
            <x v="1"/>
          </reference>
        </references>
      </pivotArea>
    </chartFormat>
    <chartFormat chart="7" format="2" series="1">
      <pivotArea type="data" outline="0" fieldPosition="0">
        <references count="2">
          <reference field="4294967294" count="1" selected="0">
            <x v="0"/>
          </reference>
          <reference field="9" count="1" selected="0">
            <x v="2"/>
          </reference>
        </references>
      </pivotArea>
    </chartFormat>
    <chartFormat chart="7" format="3" series="1">
      <pivotArea type="data" outline="0" fieldPosition="0">
        <references count="2">
          <reference field="4294967294" count="1" selected="0">
            <x v="0"/>
          </reference>
          <reference field="9" count="1" selected="0">
            <x v="3"/>
          </reference>
        </references>
      </pivotArea>
    </chartFormat>
    <chartFormat chart="7" format="4" series="1">
      <pivotArea type="data" outline="0" fieldPosition="0">
        <references count="2">
          <reference field="4294967294" count="1" selected="0">
            <x v="0"/>
          </reference>
          <reference field="9" count="1" selected="0">
            <x v="4"/>
          </reference>
        </references>
      </pivotArea>
    </chartFormat>
    <chartFormat chart="7" format="5" series="1">
      <pivotArea type="data" outline="0" fieldPosition="0">
        <references count="2">
          <reference field="4294967294" count="1" selected="0">
            <x v="0"/>
          </reference>
          <reference field="9"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tudy time by discipline across sessions"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D407730-B3D4-F84C-A20B-6383225F6AB2}"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Y1:AZ8" firstHeaderRow="1" firstDataRow="1" firstDataCol="1"/>
  <pivotFields count="13">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numFmtId="165" showAll="0"/>
    <pivotField numFmtId="165" showAll="0"/>
    <pivotField dataField="1" numFmtId="168" showAll="0"/>
    <pivotField numFmtId="166" showAll="0"/>
    <pivotField showAll="0"/>
    <pivotField showAll="0"/>
    <pivotField axis="axisRow" showAll="0">
      <items count="7">
        <item n="Writing" x="3"/>
        <item n="Piano" x="0"/>
        <item n="Counterpoint" x="4"/>
        <item n="Analysis" x="1"/>
        <item n="Orchestration" x="2"/>
        <item n="Reading" x="5"/>
        <item t="default"/>
      </items>
    </pivotField>
    <pivotField showAll="0"/>
    <pivotField numFmtId="170" showAll="0"/>
    <pivotField showAll="0">
      <items count="15">
        <item x="0"/>
        <item x="1"/>
        <item x="2"/>
        <item x="3"/>
        <item x="4"/>
        <item x="5"/>
        <item x="6"/>
        <item x="7"/>
        <item x="8"/>
        <item x="9"/>
        <item x="10"/>
        <item x="11"/>
        <item x="12"/>
        <item x="13"/>
        <item t="default"/>
      </items>
    </pivotField>
  </pivotFields>
  <rowFields count="1">
    <field x="9"/>
  </rowFields>
  <rowItems count="7">
    <i>
      <x/>
    </i>
    <i>
      <x v="1"/>
    </i>
    <i>
      <x v="2"/>
    </i>
    <i>
      <x v="3"/>
    </i>
    <i>
      <x v="4"/>
    </i>
    <i>
      <x v="5"/>
    </i>
    <i t="grand">
      <x/>
    </i>
  </rowItems>
  <colItems count="1">
    <i/>
  </colItems>
  <dataFields count="1">
    <dataField name="Sum of LENGTH" fld="5" baseField="0" baseItem="0" numFmtId="168"/>
  </dataFields>
  <formats count="2">
    <format dxfId="3">
      <pivotArea outline="0" collapsedLevelsAreSubtotals="1" fieldPosition="0">
        <references count="1">
          <reference field="4294967294" count="1" selected="0">
            <x v="0"/>
          </reference>
        </references>
      </pivotArea>
    </format>
    <format dxfId="2">
      <pivotArea dataOnly="0" labelOnly="1" outline="0" fieldPosition="0">
        <references count="1">
          <reference field="4294967294" count="1">
            <x v="0"/>
          </reference>
        </references>
      </pivotArea>
    </format>
  </formats>
  <chartFormats count="7">
    <chartFormat chart="0" format="26" series="1">
      <pivotArea type="data" outline="0" fieldPosition="0">
        <references count="1">
          <reference field="4294967294" count="1" selected="0">
            <x v="0"/>
          </reference>
        </references>
      </pivotArea>
    </chartFormat>
    <chartFormat chart="0" format="27">
      <pivotArea type="data" outline="0" fieldPosition="0">
        <references count="2">
          <reference field="4294967294" count="1" selected="0">
            <x v="0"/>
          </reference>
          <reference field="9" count="1" selected="0">
            <x v="0"/>
          </reference>
        </references>
      </pivotArea>
    </chartFormat>
    <chartFormat chart="0" format="28">
      <pivotArea type="data" outline="0" fieldPosition="0">
        <references count="2">
          <reference field="4294967294" count="1" selected="0">
            <x v="0"/>
          </reference>
          <reference field="9" count="1" selected="0">
            <x v="1"/>
          </reference>
        </references>
      </pivotArea>
    </chartFormat>
    <chartFormat chart="0" format="29">
      <pivotArea type="data" outline="0" fieldPosition="0">
        <references count="2">
          <reference field="4294967294" count="1" selected="0">
            <x v="0"/>
          </reference>
          <reference field="9" count="1" selected="0">
            <x v="2"/>
          </reference>
        </references>
      </pivotArea>
    </chartFormat>
    <chartFormat chart="0" format="30">
      <pivotArea type="data" outline="0" fieldPosition="0">
        <references count="2">
          <reference field="4294967294" count="1" selected="0">
            <x v="0"/>
          </reference>
          <reference field="9" count="1" selected="0">
            <x v="3"/>
          </reference>
        </references>
      </pivotArea>
    </chartFormat>
    <chartFormat chart="0" format="31">
      <pivotArea type="data" outline="0" fieldPosition="0">
        <references count="2">
          <reference field="4294967294" count="1" selected="0">
            <x v="0"/>
          </reference>
          <reference field="9" count="1" selected="0">
            <x v="4"/>
          </reference>
        </references>
      </pivotArea>
    </chartFormat>
    <chartFormat chart="0" format="32">
      <pivotArea type="data" outline="0" fieldPosition="0">
        <references count="2">
          <reference field="4294967294" count="1" selected="0">
            <x v="0"/>
          </reference>
          <reference field="9"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DB7F89D-C346-1741-B2BB-4D75BCD2317C}" name="StudyLog" displayName="StudyLog" ref="A8:L191" headerRowDxfId="34" dataDxfId="32" totalsRowDxfId="30" headerRowBorderDxfId="33" tableBorderDxfId="31" headerRowCellStyle="Accent3">
  <autoFilter ref="A8:L191" xr:uid="{EDB7F89D-C346-1741-B2BB-4D75BCD2317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7" xr3:uid="{7B47DBDA-9914-DD40-ADB2-8C11878B5385}" name="SESSION" dataDxfId="29"/>
    <tableColumn id="1" xr3:uid="{615F18E5-ABB7-D748-B7AB-3037B2E88145}" name="DAY" totalsRowLabel="Total" dataDxfId="28">
      <calculatedColumnFormula array="1">NOW()</calculatedColumnFormula>
    </tableColumn>
    <tableColumn id="2" xr3:uid="{FA0F53DD-8942-B946-8AA8-74DA2EDFD694}" name="TASK" dataDxfId="27"/>
    <tableColumn id="3" xr3:uid="{19D30B60-8F52-0649-8E2A-7379731B08E1}" name="START" dataDxfId="26"/>
    <tableColumn id="19" xr3:uid="{A84501EF-A8F0-304B-9229-B86103748D5E}" name="END" dataDxfId="25"/>
    <tableColumn id="4" xr3:uid="{D312E88E-E668-9648-9655-84915ED299E1}" name="LENGTH" dataDxfId="24">
      <calculatedColumnFormula>StudyLog[[#This Row],[END]]-StudyLog[[#This Row],[START]]-(StudyLog[[#This Row],[PAUSED]]/(24*60))</calculatedColumnFormula>
    </tableColumn>
    <tableColumn id="6" xr3:uid="{7F314FA2-8F52-964D-97C9-4BB3EA1751D4}" name="PAUSED" dataDxfId="23"/>
    <tableColumn id="20" xr3:uid="{B126B41D-A1C1-464C-B462-0E47A8A9A161}" name="RATING" dataDxfId="22"/>
    <tableColumn id="21" xr3:uid="{62EB8837-2D9F-0344-8BEF-31D1555BA0CE}" name="POMO" dataDxfId="21"/>
    <tableColumn id="28" xr3:uid="{18691FA4-7766-3F41-A569-16FE2B02BAA8}" name="TAG" totalsRowFunction="count" dataDxfId="20"/>
    <tableColumn id="5" xr3:uid="{CABE8A1A-8A2A-A847-A319-06C074855922}" name="COUNT" dataDxfId="19"/>
    <tableColumn id="29" xr3:uid="{9E4D9D68-736D-8A4E-8871-065084459476}" name="FormatDate" dataDxfId="18">
      <calculatedColumnFormula>StudyLog[[#This Row],[DAY]]</calculatedColumnFormula>
    </tableColumn>
  </tableColumns>
  <tableStyleInfo name="TableStyleDark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80A351C-358D-3E48-9B3F-3046EB9969F1}" name="Sessions" displayName="Sessions" ref="B1:D16" totalsRowShown="0" headerRowDxfId="9" dataDxfId="8">
  <autoFilter ref="B1:D16" xr:uid="{080A351C-358D-3E48-9B3F-3046EB9969F1}"/>
  <sortState xmlns:xlrd2="http://schemas.microsoft.com/office/spreadsheetml/2017/richdata2" ref="B2:D3">
    <sortCondition ref="B1:B3"/>
  </sortState>
  <tableColumns count="3">
    <tableColumn id="1" xr3:uid="{659CC45B-029D-F44D-A6B8-9BA4117FA6DE}" name="Session" dataDxfId="7">
      <calculatedColumnFormula>ROW()-1</calculatedColumnFormula>
    </tableColumn>
    <tableColumn id="2" xr3:uid="{E6936238-D258-9548-99A0-8ADA9AA016F1}" name="Start Date" dataDxfId="6"/>
    <tableColumn id="4" xr3:uid="{A1884A8D-0B3A-084D-8185-C00064882E50}" name="End Date" dataDxfId="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96CF374-3070-3A4C-803B-291E3F8019CF}" name="SessionEnds" displayName="SessionEnds" ref="E1:E14" totalsRowShown="0">
  <autoFilter ref="E1:E14" xr:uid="{396CF374-3070-3A4C-803B-291E3F8019CF}"/>
  <tableColumns count="1">
    <tableColumn id="1" xr3:uid="{E9D5121C-D02E-5A47-B96F-36EFBB985F01}" name="SessionEnds" dataDxfId="4"/>
  </tableColumns>
  <tableStyleInfo name="TableStyleMedium3" showFirstColumn="0" showLastColumn="0" showRowStripes="1" showColumnStripes="0"/>
</table>
</file>

<file path=xl/theme/theme1.xml><?xml version="1.0" encoding="utf-8"?>
<a:theme xmlns:a="http://schemas.openxmlformats.org/drawingml/2006/main" name="Droplet">
  <a:themeElements>
    <a:clrScheme name="Violet II">
      <a:dk1>
        <a:sysClr val="windowText" lastClr="000000"/>
      </a:dk1>
      <a:lt1>
        <a:sysClr val="window" lastClr="FFFFFF"/>
      </a:lt1>
      <a:dk2>
        <a:srgbClr val="632E62"/>
      </a:dk2>
      <a:lt2>
        <a:srgbClr val="EAE5EB"/>
      </a:lt2>
      <a:accent1>
        <a:srgbClr val="92278F"/>
      </a:accent1>
      <a:accent2>
        <a:srgbClr val="9B57D3"/>
      </a:accent2>
      <a:accent3>
        <a:srgbClr val="755DD9"/>
      </a:accent3>
      <a:accent4>
        <a:srgbClr val="665EB8"/>
      </a:accent4>
      <a:accent5>
        <a:srgbClr val="45A5ED"/>
      </a:accent5>
      <a:accent6>
        <a:srgbClr val="5982DB"/>
      </a:accent6>
      <a:hlink>
        <a:srgbClr val="0066FF"/>
      </a:hlink>
      <a:folHlink>
        <a:srgbClr val="666699"/>
      </a:folHlink>
    </a:clrScheme>
    <a:fontScheme name="Droplet">
      <a:majorFont>
        <a:latin typeface="Tw Cen MT" panose="020B0602020104020603"/>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w Cen MT" panose="020B0602020104020603"/>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Droplet">
      <a:fillStyleLst>
        <a:solidFill>
          <a:schemeClr val="phClr"/>
        </a:solidFill>
        <a:solidFill>
          <a:schemeClr val="phClr">
            <a:tint val="69000"/>
            <a:satMod val="105000"/>
            <a:lumMod val="110000"/>
          </a:schemeClr>
        </a:solidFill>
        <a:gradFill rotWithShape="1">
          <a:gsLst>
            <a:gs pos="0">
              <a:schemeClr val="phClr">
                <a:tint val="94000"/>
                <a:satMod val="100000"/>
                <a:lumMod val="108000"/>
              </a:schemeClr>
            </a:gs>
            <a:gs pos="50000">
              <a:schemeClr val="phClr">
                <a:tint val="98000"/>
                <a:shade val="100000"/>
                <a:satMod val="100000"/>
                <a:lumMod val="100000"/>
              </a:schemeClr>
            </a:gs>
            <a:gs pos="100000">
              <a:schemeClr val="phClr">
                <a:shade val="72000"/>
                <a:satMod val="120000"/>
                <a:lumMod val="100000"/>
              </a:schemeClr>
            </a:gs>
          </a:gsLst>
          <a:lin ang="5400000" scaled="0"/>
        </a:gradFill>
      </a:fillStyleLst>
      <a:lnStyleLst>
        <a:ln w="9525" cap="flat" cmpd="sng" algn="ctr">
          <a:solidFill>
            <a:schemeClr val="phClr">
              <a:shade val="60000"/>
            </a:scheme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effectStyle>
        <a:effectStyle>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a:effectStyle>
      </a:effectStyleLst>
      <a:bgFillStyleLst>
        <a:solidFill>
          <a:schemeClr val="phClr"/>
        </a:solidFill>
        <a:gradFill rotWithShape="1">
          <a:gsLst>
            <a:gs pos="0">
              <a:schemeClr val="phClr">
                <a:tint val="90000"/>
                <a:lumMod val="110000"/>
              </a:schemeClr>
            </a:gs>
            <a:gs pos="100000">
              <a:schemeClr val="phClr">
                <a:shade val="64000"/>
                <a:lumMod val="88000"/>
              </a:schemeClr>
            </a:gs>
          </a:gsLst>
          <a:lin ang="5400000" scaled="0"/>
        </a:gradFill>
        <a:gradFill rotWithShape="1">
          <a:gsLst>
            <a:gs pos="0">
              <a:schemeClr val="phClr">
                <a:tint val="84000"/>
                <a:shade val="100000"/>
                <a:hueMod val="130000"/>
                <a:satMod val="150000"/>
                <a:lumMod val="112000"/>
              </a:schemeClr>
            </a:gs>
            <a:gs pos="100000">
              <a:schemeClr val="phClr">
                <a:shade val="92000"/>
                <a:satMod val="140000"/>
                <a:lumMod val="110000"/>
              </a:schemeClr>
            </a:gs>
          </a:gsLst>
          <a:lin ang="5400000" scaled="0"/>
        </a:gradFill>
      </a:bgFillStyleLst>
    </a:fmtScheme>
  </a:themeElements>
  <a:objectDefaults/>
  <a:extraClrSchemeLst/>
  <a:extLst>
    <a:ext uri="{05A4C25C-085E-4340-85A3-A5531E510DB2}">
      <thm15:themeFamily xmlns:thm15="http://schemas.microsoft.com/office/thememl/2012/main" name="Droplet" id="{8984A317-299A-4E50-B45D-BFC9EDE2337A}" vid="{A633B6A3-9E7F-4C10-9C98-2517A3134361}"/>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B6255-8035-A74E-A3FC-03DB98B3950D}">
  <sheetPr codeName="Sheet1">
    <pageSetUpPr fitToPage="1"/>
  </sheetPr>
  <dimension ref="A1:TAL212"/>
  <sheetViews>
    <sheetView showGridLines="0" tabSelected="1" showRuler="0" zoomScale="50" zoomScaleNormal="85" zoomScalePageLayoutView="64" workbookViewId="0">
      <selection activeCell="M27" sqref="M27"/>
    </sheetView>
  </sheetViews>
  <sheetFormatPr baseColWidth="10" defaultRowHeight="16" x14ac:dyDescent="0.2"/>
  <cols>
    <col min="1" max="1" width="11.28515625" bestFit="1" customWidth="1"/>
    <col min="2" max="2" width="11.7109375" bestFit="1" customWidth="1"/>
    <col min="3" max="3" width="85.5703125" customWidth="1"/>
    <col min="4" max="4" width="11.28515625" customWidth="1"/>
    <col min="5" max="5" width="12" customWidth="1"/>
    <col min="6" max="6" width="12.85546875" customWidth="1"/>
    <col min="7" max="7" width="16.140625" customWidth="1"/>
    <col min="8" max="8" width="10.28515625" style="2" bestFit="1" customWidth="1"/>
    <col min="9" max="9" width="9" bestFit="1" customWidth="1"/>
    <col min="10" max="10" width="5.42578125" hidden="1" customWidth="1"/>
    <col min="11" max="11" width="8.42578125" hidden="1" customWidth="1"/>
    <col min="12" max="12" width="24.28515625" hidden="1" customWidth="1"/>
    <col min="13" max="13" width="43.140625" customWidth="1"/>
    <col min="14" max="14" width="11" customWidth="1"/>
    <col min="15" max="15" width="34.85546875" bestFit="1" customWidth="1"/>
    <col min="16" max="16" width="21.42578125" customWidth="1"/>
    <col min="17" max="17" width="21.28515625" customWidth="1"/>
    <col min="19" max="19" width="20.85546875" customWidth="1"/>
    <col min="20" max="20" width="13" customWidth="1"/>
    <col min="21" max="21" width="13.5703125" bestFit="1" customWidth="1"/>
  </cols>
  <sheetData>
    <row r="1" spans="1:20 13558:13558" ht="51" customHeight="1" x14ac:dyDescent="0.2">
      <c r="A1" s="136"/>
      <c r="B1" s="136"/>
      <c r="C1" s="81" t="s">
        <v>47</v>
      </c>
      <c r="D1" s="60" t="s">
        <v>38</v>
      </c>
      <c r="E1" s="33" t="str" cm="1">
        <f t="array" ref="E1">"CURRENT:
SESSION "&amp;INDEX(Sessions[],ROWS(Sessions[]),1)</f>
        <v>CURRENT:
SESSION 15</v>
      </c>
      <c r="F1" s="34" t="str">
        <f>"COMPARE:
SESSION "&amp;F3</f>
        <v>COMPARE:
SESSION 13</v>
      </c>
      <c r="G1" s="35" t="s">
        <v>34</v>
      </c>
      <c r="H1" s="134" t="s">
        <v>33</v>
      </c>
      <c r="I1" s="14">
        <v>20</v>
      </c>
      <c r="O1" s="23"/>
      <c r="T1" s="8"/>
    </row>
    <row r="2" spans="1:20 13558:13558" ht="32" customHeight="1" x14ac:dyDescent="0.2">
      <c r="A2" s="136"/>
      <c r="B2" s="136"/>
      <c r="C2" s="75" t="str">
        <f>"1. Writing / Composition: "&amp;TEXT(SUMIFS(StudyLog[LENGTH],StudyLog[TAG],1,StudyLog[SESSION],ROWS(Sessions[])),"h:mm")</f>
        <v>1. Writing / Composition: 0:00</v>
      </c>
      <c r="D2" s="73">
        <f ca="1">TODAY()</f>
        <v>45417</v>
      </c>
      <c r="E2" s="57" t="str" cm="1">
        <f t="array" ref="E2">TEXT(INDEX(Sessions[],ROWS(Sessions[]),2),"m/dd")&amp; " - "&amp;IF(ISNUMBER(E3),TEXT(E3,"m/dd"),"No End")</f>
        <v>4/17 - No End</v>
      </c>
      <c r="F2" s="36" t="str" cm="1">
        <f t="array" ref="F2">TEXT(INDEX(Sessions[],F3,2),"m/dd")&amp; " - "&amp;TEXT(INDEX(Sessions[],F3,3),"m/dd")</f>
        <v>4/03 - 4/04</v>
      </c>
      <c r="G2" s="37" t="str" cm="1">
        <f t="array" ref="G2">"Since "&amp;TEXT(INDEX(StudyLog[DAY],ROWS(StudyLog[])),"m/dd")</f>
        <v>Since 2/21</v>
      </c>
      <c r="H2" s="135"/>
      <c r="I2" s="14">
        <v>25</v>
      </c>
      <c r="T2" s="8"/>
    </row>
    <row r="3" spans="1:20 13558:13558" ht="31" customHeight="1" x14ac:dyDescent="0.2">
      <c r="A3" s="136"/>
      <c r="B3" s="136"/>
      <c r="C3" s="76" t="str">
        <f>"2. Piano Practice: "&amp;TEXT(SUMIFS(StudyLog[LENGTH],StudyLog[TAG],2,StudyLog[SESSION],ROWS(Sessions[])),"h:mm")</f>
        <v>2. Piano Practice: 0:00</v>
      </c>
      <c r="D3" s="83" t="str">
        <f>IF(ISNUMBER(E3),E3-D2, "SELECT END:")</f>
        <v>SELECT END:</v>
      </c>
      <c r="E3" s="82"/>
      <c r="F3" s="38">
        <v>13</v>
      </c>
      <c r="G3" s="39" t="str" cm="1">
        <f t="array" aca="1" ref="G3" ca="1">(TODAY()-INDEX(StudyLog[DAY],ROWS(StudyLog[]))+1)&amp;" days"</f>
        <v>75 days</v>
      </c>
      <c r="H3" s="15">
        <v>1</v>
      </c>
      <c r="I3" s="14">
        <v>30</v>
      </c>
      <c r="T3" s="9"/>
    </row>
    <row r="4" spans="1:20 13558:13558" ht="32" customHeight="1" x14ac:dyDescent="0.2">
      <c r="A4" s="136"/>
      <c r="B4" s="136"/>
      <c r="C4" s="77" t="str">
        <f>"3. Counterpoint: "&amp;TEXT(SUMIFS(StudyLog[LENGTH],StudyLog[TAG],3,StudyLog[SESSION],ROWS(Sessions[])),"h:mm")</f>
        <v>3. Counterpoint: 0:00</v>
      </c>
      <c r="D4" s="32" t="str">
        <f ca="1">IFERROR(D7/(SUMIF(StudyLog[DAY], TODAY(), StudyLog[END])-SUMIF(StudyLog[DAY], TODAY(), StudyLog[START])),"No time tod.")</f>
        <v>No time tod.</v>
      </c>
      <c r="E4" s="58" t="str" cm="1">
        <f t="array" ref="E4">IFERROR(E7/(SUMIF(StudyLog[SESSION], INDEX(Sessions[],ROWS(Sessions[]),1), StudyLog[END])-SUMIF(StudyLog[SESSION],INDEX(Sessions[],ROWS(Sessions[]),1), StudyLog[START])),"No time cur. s.")</f>
        <v>No time cur. s.</v>
      </c>
      <c r="F4" s="40">
        <f>IFERROR(F7/(SUMIF(StudyLog[SESSION],F3,StudyLog[END])-SUMIF(StudyLog[SESSION],F3,StudyLog[START])),"No time S. "&amp;F3)</f>
        <v>0.97236631590485567</v>
      </c>
      <c r="G4" s="40">
        <f>IFERROR(G7/(SUM(StudyLog[END])-SUM(StudyLog[START])),"No time")</f>
        <v>0.96491360431799911</v>
      </c>
      <c r="H4" s="16">
        <v>2</v>
      </c>
      <c r="I4" s="14">
        <v>35</v>
      </c>
      <c r="Q4" s="10"/>
    </row>
    <row r="5" spans="1:20 13558:13558" ht="32" customHeight="1" x14ac:dyDescent="0.2">
      <c r="A5" s="136"/>
      <c r="B5" s="136"/>
      <c r="C5" s="78" t="str">
        <f>"4. Analysis: "&amp;TEXT(SUMIFS(StudyLog[LENGTH],StudyLog[TAG],4,StudyLog[SESSION],ROWS(Sessions[])),"h:mm")</f>
        <v>4. Analysis: 0:00</v>
      </c>
      <c r="D5" s="56">
        <f ca="1">COUNTIF(StudyLog[DAY], TODAY())</f>
        <v>0</v>
      </c>
      <c r="E5" s="59" cm="1">
        <f t="array" ref="E5">COUNTIF(StudyLog[SESSION],INDEX(Sessions[],ROWS(Sessions[]),1))</f>
        <v>0</v>
      </c>
      <c r="F5" s="41">
        <f>COUNTIF(StudyLog[SESSION],F3)</f>
        <v>16</v>
      </c>
      <c r="G5" s="41">
        <f>ROWS(StudyLog[])</f>
        <v>183</v>
      </c>
      <c r="H5" s="17">
        <v>3</v>
      </c>
      <c r="I5" s="14">
        <v>45</v>
      </c>
      <c r="O5" s="31"/>
      <c r="T5" s="11"/>
    </row>
    <row r="6" spans="1:20 13558:13558" ht="31" customHeight="1" x14ac:dyDescent="0.2">
      <c r="A6" s="136"/>
      <c r="B6" s="136"/>
      <c r="C6" s="79" t="str">
        <f>"5. Reading: "&amp;TEXT(SUMIFS(StudyLog[LENGTH],StudyLog[TAG],5,StudyLog[SESSION],ROWS(Sessions[])),"h:mm")</f>
        <v>5. Reading: 0:00</v>
      </c>
      <c r="D6" s="67" t="str">
        <f ca="1">IFERROR(AVERAGEIF(StudyLog[DAY],TODAY(),StudyLog[RATING]),"No ratings tod.")</f>
        <v>No ratings tod.</v>
      </c>
      <c r="E6" s="68" t="str" cm="1">
        <f t="array" ref="E6">IFERROR(AVERAGEIF(StudyLog[SESSION],INDEX(Sessions[],ROWS(Sessions[]),1),StudyLog[RATING]),"No ratings cur S.")</f>
        <v>No ratings cur S.</v>
      </c>
      <c r="F6" s="69">
        <f>IFERROR(AVERAGEIF(StudyLog[SESSION],F3,StudyLog[RATING]),"No ratings S. "&amp;F3)</f>
        <v>3.65625</v>
      </c>
      <c r="G6" s="70">
        <f>IFERROR(AVERAGE(StudyLog[RATING]),"No ratings")</f>
        <v>3.4785276073619631</v>
      </c>
      <c r="H6" s="18">
        <v>4</v>
      </c>
      <c r="I6" s="14">
        <v>50</v>
      </c>
      <c r="T6" s="12"/>
    </row>
    <row r="7" spans="1:20 13558:13558" ht="36" customHeight="1" x14ac:dyDescent="0.2">
      <c r="A7" s="136"/>
      <c r="B7" s="136"/>
      <c r="C7" s="80" t="str">
        <f>"6. Orchestration "&amp;TEXT(SUMIFS(StudyLog[LENGTH],StudyLog[TAG],6,StudyLog[SESSION],ROWS(Sessions[])),"h:mm")</f>
        <v>6. Orchestration 0:00</v>
      </c>
      <c r="D7" s="54">
        <f ca="1">SUMIFS(StudyLog[LENGTH],StudyLog[DAY],TODAY())</f>
        <v>0</v>
      </c>
      <c r="E7" s="55" cm="1">
        <f t="array" ref="E7">SUMIFS(StudyLog[LENGTH],StudyLog[SESSION],INDEX(Sessions[],ROWS(Sessions[]),1))</f>
        <v>0</v>
      </c>
      <c r="F7" s="42">
        <f>SUMIFS(StudyLog[LENGTH],StudyLog[SESSION],F3)</f>
        <v>0.46428240741014537</v>
      </c>
      <c r="G7" s="43">
        <f>SUM(StudyLog[LENGTH])</f>
        <v>4.7362962962736148</v>
      </c>
      <c r="H7" s="26">
        <v>5</v>
      </c>
      <c r="I7" s="28">
        <v>35</v>
      </c>
    </row>
    <row r="8" spans="1:20 13558:13558" ht="28" customHeight="1" x14ac:dyDescent="0.25">
      <c r="A8" s="94" t="s">
        <v>32</v>
      </c>
      <c r="B8" s="95" t="s">
        <v>20</v>
      </c>
      <c r="C8" s="96" t="s">
        <v>21</v>
      </c>
      <c r="D8" s="97" t="s">
        <v>28</v>
      </c>
      <c r="E8" s="97" t="s">
        <v>29</v>
      </c>
      <c r="F8" s="97" t="s">
        <v>27</v>
      </c>
      <c r="G8" s="96" t="s">
        <v>22</v>
      </c>
      <c r="H8" s="98" t="s">
        <v>31</v>
      </c>
      <c r="I8" s="96" t="s">
        <v>23</v>
      </c>
      <c r="J8" s="99" t="s">
        <v>17</v>
      </c>
      <c r="K8" s="99" t="s">
        <v>30</v>
      </c>
      <c r="L8" s="100" t="s">
        <v>40</v>
      </c>
      <c r="M8" s="24" t="s">
        <v>6</v>
      </c>
    </row>
    <row r="9" spans="1:20 13558:13558" s="23" customFormat="1" ht="92" x14ac:dyDescent="0.45">
      <c r="A9" s="101">
        <v>13</v>
      </c>
      <c r="B9" s="102">
        <v>45386</v>
      </c>
      <c r="C9" s="115" t="s">
        <v>258</v>
      </c>
      <c r="D9" s="103">
        <v>45386.583310185182</v>
      </c>
      <c r="E9" s="103">
        <v>45386.607615740744</v>
      </c>
      <c r="F9" s="104">
        <f>StudyLog[[#This Row],[END]]-StudyLog[[#This Row],[START]]-(StudyLog[[#This Row],[PAUSED]]/(24*60))</f>
        <v>2.4305555562023073E-2</v>
      </c>
      <c r="G9" s="105">
        <v>0</v>
      </c>
      <c r="H9" s="113">
        <v>4</v>
      </c>
      <c r="I9" s="105">
        <v>35</v>
      </c>
      <c r="J9" s="107">
        <v>2</v>
      </c>
      <c r="K9" s="108">
        <v>1</v>
      </c>
      <c r="L9" s="110">
        <f>StudyLog[[#This Row],[DAY]]</f>
        <v>45386</v>
      </c>
      <c r="M9" s="133" t="s">
        <v>257</v>
      </c>
      <c r="TAL9" s="23">
        <v>2</v>
      </c>
    </row>
    <row r="10" spans="1:20 13558:13558" ht="28" x14ac:dyDescent="0.3">
      <c r="A10" s="101">
        <v>13</v>
      </c>
      <c r="B10" s="102">
        <v>45386</v>
      </c>
      <c r="C10" s="115" t="s">
        <v>256</v>
      </c>
      <c r="D10" s="103">
        <v>45386.552430555559</v>
      </c>
      <c r="E10" s="103">
        <v>45386.576736111114</v>
      </c>
      <c r="F10" s="104">
        <f>StudyLog[[#This Row],[END]]-StudyLog[[#This Row],[START]]-(StudyLog[[#This Row],[PAUSED]]/(24*60))</f>
        <v>2.4305555554747116E-2</v>
      </c>
      <c r="G10" s="105">
        <v>0</v>
      </c>
      <c r="H10" s="113">
        <v>4</v>
      </c>
      <c r="I10" s="105">
        <v>35</v>
      </c>
      <c r="J10" s="107">
        <v>2</v>
      </c>
      <c r="K10" s="108">
        <v>1</v>
      </c>
      <c r="L10" s="110">
        <f>StudyLog[[#This Row],[DAY]]</f>
        <v>45386</v>
      </c>
      <c r="M10" s="132" t="s">
        <v>239</v>
      </c>
    </row>
    <row r="11" spans="1:20 13558:13558" ht="49" x14ac:dyDescent="0.3">
      <c r="A11" s="101">
        <v>13</v>
      </c>
      <c r="B11" s="102">
        <v>45386</v>
      </c>
      <c r="C11" s="117" t="s">
        <v>255</v>
      </c>
      <c r="D11" s="103">
        <v>45386.497604166667</v>
      </c>
      <c r="E11" s="103">
        <v>45386.535798611112</v>
      </c>
      <c r="F11" s="104">
        <f>StudyLog[[#This Row],[END]]-StudyLog[[#This Row],[START]]-(StudyLog[[#This Row],[PAUSED]]/(24*60))</f>
        <v>3.8194444445252884E-2</v>
      </c>
      <c r="G11" s="105">
        <v>0</v>
      </c>
      <c r="H11" s="113">
        <v>4</v>
      </c>
      <c r="I11" s="105">
        <v>55</v>
      </c>
      <c r="J11" s="107">
        <v>4</v>
      </c>
      <c r="K11" s="108">
        <v>1</v>
      </c>
      <c r="L11" s="110">
        <f>StudyLog[[#This Row],[DAY]]</f>
        <v>45386</v>
      </c>
      <c r="M11" s="132" t="s">
        <v>240</v>
      </c>
    </row>
    <row r="12" spans="1:20 13558:13558" ht="28" x14ac:dyDescent="0.3">
      <c r="A12" s="101">
        <v>13</v>
      </c>
      <c r="B12" s="102">
        <v>45386</v>
      </c>
      <c r="C12" s="118" t="s">
        <v>254</v>
      </c>
      <c r="D12" s="103">
        <v>45386.965856481482</v>
      </c>
      <c r="E12" s="103">
        <v>45386.989687499998</v>
      </c>
      <c r="F12" s="104">
        <f>StudyLog[[#This Row],[END]]-StudyLog[[#This Row],[START]]-(StudyLog[[#This Row],[PAUSED]]/(24*60))</f>
        <v>2.3831018515920732E-2</v>
      </c>
      <c r="G12" s="105">
        <v>0</v>
      </c>
      <c r="H12" s="112">
        <v>3</v>
      </c>
      <c r="I12" s="105">
        <v>30</v>
      </c>
      <c r="J12" s="107">
        <v>6</v>
      </c>
      <c r="K12" s="108">
        <v>1</v>
      </c>
      <c r="L12" s="110">
        <f>StudyLog[[#This Row],[DAY]]</f>
        <v>45386</v>
      </c>
      <c r="M12" s="132" t="s">
        <v>241</v>
      </c>
      <c r="N12" s="13"/>
      <c r="O12" s="13"/>
    </row>
    <row r="13" spans="1:20 13558:13558" ht="28" x14ac:dyDescent="0.3">
      <c r="A13" s="101">
        <v>13</v>
      </c>
      <c r="B13" s="102">
        <v>45386</v>
      </c>
      <c r="C13" s="117" t="s">
        <v>253</v>
      </c>
      <c r="D13" s="103">
        <v>45386.419328703705</v>
      </c>
      <c r="E13" s="103">
        <v>45386.457662037035</v>
      </c>
      <c r="F13" s="104">
        <f>StudyLog[[#This Row],[END]]-StudyLog[[#This Row],[START]]-(StudyLog[[#This Row],[PAUSED]]/(24*60))</f>
        <v>2.9999999996895593E-2</v>
      </c>
      <c r="G13" s="105">
        <v>12</v>
      </c>
      <c r="H13" s="113">
        <v>4</v>
      </c>
      <c r="I13" s="105">
        <v>40</v>
      </c>
      <c r="J13" s="107">
        <v>4</v>
      </c>
      <c r="K13" s="108">
        <v>1</v>
      </c>
      <c r="L13" s="110">
        <f>StudyLog[[#This Row],[DAY]]</f>
        <v>45386</v>
      </c>
      <c r="M13" s="132" t="s">
        <v>243</v>
      </c>
      <c r="N13" s="13"/>
      <c r="O13" s="13"/>
    </row>
    <row r="14" spans="1:20 13558:13558" ht="73" x14ac:dyDescent="0.3">
      <c r="A14" s="101">
        <v>13</v>
      </c>
      <c r="B14" s="102">
        <v>45386</v>
      </c>
      <c r="C14" s="115" t="s">
        <v>252</v>
      </c>
      <c r="D14" s="103">
        <v>45386.389143518521</v>
      </c>
      <c r="E14" s="103">
        <v>45386.413449074076</v>
      </c>
      <c r="F14" s="104">
        <f>StudyLog[[#This Row],[END]]-StudyLog[[#This Row],[START]]-(StudyLog[[#This Row],[PAUSED]]/(24*60))</f>
        <v>2.4305555554747116E-2</v>
      </c>
      <c r="G14" s="105">
        <v>0</v>
      </c>
      <c r="H14" s="113">
        <v>4.5</v>
      </c>
      <c r="I14" s="105">
        <v>35</v>
      </c>
      <c r="J14" s="107">
        <v>2</v>
      </c>
      <c r="K14" s="108">
        <v>1</v>
      </c>
      <c r="L14" s="110">
        <f>StudyLog[[#This Row],[DAY]]</f>
        <v>45386</v>
      </c>
      <c r="M14" s="132" t="s">
        <v>242</v>
      </c>
      <c r="N14" s="13"/>
      <c r="O14" s="13"/>
    </row>
    <row r="15" spans="1:20 13558:13558" ht="47" customHeight="1" x14ac:dyDescent="0.25">
      <c r="A15" s="101">
        <v>13</v>
      </c>
      <c r="B15" s="102">
        <v>45386</v>
      </c>
      <c r="C15" s="114" t="s">
        <v>251</v>
      </c>
      <c r="D15" s="103">
        <v>45386.351111111115</v>
      </c>
      <c r="E15" s="103">
        <v>45386.375416666669</v>
      </c>
      <c r="F15" s="104">
        <f>StudyLog[[#This Row],[END]]-StudyLog[[#This Row],[START]]-(StudyLog[[#This Row],[PAUSED]]/(24*60))</f>
        <v>2.4305555554747116E-2</v>
      </c>
      <c r="G15" s="105">
        <v>0</v>
      </c>
      <c r="H15" s="113">
        <v>4</v>
      </c>
      <c r="I15" s="105">
        <v>35</v>
      </c>
      <c r="J15" s="107">
        <v>1</v>
      </c>
      <c r="K15" s="108">
        <v>1</v>
      </c>
      <c r="L15" s="110">
        <f>StudyLog[[#This Row],[DAY]]</f>
        <v>45386</v>
      </c>
      <c r="M15" s="25" t="s">
        <v>125</v>
      </c>
      <c r="N15" s="13"/>
      <c r="O15" s="13"/>
    </row>
    <row r="16" spans="1:20 13558:13558" ht="24" x14ac:dyDescent="0.25">
      <c r="A16" s="101">
        <v>13</v>
      </c>
      <c r="B16" s="102">
        <v>45386</v>
      </c>
      <c r="C16" s="114" t="s">
        <v>250</v>
      </c>
      <c r="D16" s="103">
        <v>45385.864583333336</v>
      </c>
      <c r="E16" s="103">
        <v>45385.895833333336</v>
      </c>
      <c r="F16" s="104">
        <f>StudyLog[[#This Row],[END]]-StudyLog[[#This Row],[START]]-(StudyLog[[#This Row],[PAUSED]]/(24*60))</f>
        <v>3.125E-2</v>
      </c>
      <c r="G16" s="105">
        <v>0</v>
      </c>
      <c r="H16" s="112">
        <v>3</v>
      </c>
      <c r="I16" s="105">
        <v>45</v>
      </c>
      <c r="J16" s="107">
        <v>1</v>
      </c>
      <c r="K16" s="108">
        <v>1</v>
      </c>
      <c r="L16" s="110">
        <f>StudyLog[[#This Row],[DAY]]</f>
        <v>45386</v>
      </c>
      <c r="M16" s="25" t="s">
        <v>126</v>
      </c>
      <c r="N16" s="13"/>
      <c r="O16" s="13"/>
    </row>
    <row r="17" spans="1:15" ht="24" x14ac:dyDescent="0.25">
      <c r="A17" s="101">
        <v>13</v>
      </c>
      <c r="B17" s="102">
        <v>45385</v>
      </c>
      <c r="C17" s="117" t="s">
        <v>249</v>
      </c>
      <c r="D17" s="103">
        <v>45385.677407407406</v>
      </c>
      <c r="E17" s="103">
        <v>45385.709282407406</v>
      </c>
      <c r="F17" s="104">
        <f>StudyLog[[#This Row],[END]]-StudyLog[[#This Row],[START]]-(StudyLog[[#This Row],[PAUSED]]/(24*60))</f>
        <v>3.1875000000582077E-2</v>
      </c>
      <c r="G17" s="105">
        <v>0</v>
      </c>
      <c r="H17" s="113">
        <v>4</v>
      </c>
      <c r="I17" s="105">
        <v>40</v>
      </c>
      <c r="J17" s="107">
        <v>4</v>
      </c>
      <c r="K17" s="108">
        <v>1</v>
      </c>
      <c r="L17" s="110">
        <f>StudyLog[[#This Row],[DAY]]</f>
        <v>45385</v>
      </c>
      <c r="M17" s="25" t="s">
        <v>127</v>
      </c>
      <c r="N17" s="13"/>
      <c r="O17" s="13"/>
    </row>
    <row r="18" spans="1:15" ht="44" x14ac:dyDescent="0.25">
      <c r="A18" s="101">
        <v>13</v>
      </c>
      <c r="B18" s="102">
        <v>45385</v>
      </c>
      <c r="C18" s="115" t="s">
        <v>248</v>
      </c>
      <c r="D18" s="103">
        <v>45385.636250000003</v>
      </c>
      <c r="E18" s="103">
        <v>45385.667500000003</v>
      </c>
      <c r="F18" s="104">
        <f>StudyLog[[#This Row],[END]]-StudyLog[[#This Row],[START]]-(StudyLog[[#This Row],[PAUSED]]/(24*60))</f>
        <v>3.125E-2</v>
      </c>
      <c r="G18" s="105">
        <v>0</v>
      </c>
      <c r="H18" s="113">
        <v>4</v>
      </c>
      <c r="I18" s="105">
        <v>45</v>
      </c>
      <c r="J18" s="107">
        <v>2</v>
      </c>
      <c r="K18" s="108">
        <v>1</v>
      </c>
      <c r="L18" s="110">
        <f>StudyLog[[#This Row],[DAY]]</f>
        <v>45385</v>
      </c>
      <c r="M18" s="25" t="s">
        <v>168</v>
      </c>
      <c r="N18" s="13"/>
      <c r="O18" s="13"/>
    </row>
    <row r="19" spans="1:15" ht="48" x14ac:dyDescent="0.25">
      <c r="A19" s="101">
        <v>13</v>
      </c>
      <c r="B19" s="102">
        <v>45385</v>
      </c>
      <c r="C19" s="111" t="s">
        <v>247</v>
      </c>
      <c r="D19" s="103">
        <v>45385.568067129629</v>
      </c>
      <c r="E19" s="103">
        <v>45385.621192129627</v>
      </c>
      <c r="F19" s="104">
        <f>StudyLog[[#This Row],[END]]-StudyLog[[#This Row],[START]]-(StudyLog[[#This Row],[PAUSED]]/(24*60))</f>
        <v>4.9652777776322585E-2</v>
      </c>
      <c r="G19" s="105">
        <v>5</v>
      </c>
      <c r="H19" s="116">
        <v>2</v>
      </c>
      <c r="I19" s="105">
        <v>30</v>
      </c>
      <c r="J19" s="107">
        <v>3</v>
      </c>
      <c r="K19" s="108">
        <v>1</v>
      </c>
      <c r="L19" s="110">
        <f>StudyLog[[#This Row],[DAY]]</f>
        <v>45385</v>
      </c>
      <c r="M19" s="25" t="s">
        <v>219</v>
      </c>
      <c r="N19" s="13"/>
      <c r="O19" s="13"/>
    </row>
    <row r="20" spans="1:15" ht="24" x14ac:dyDescent="0.25">
      <c r="A20" s="101">
        <v>13</v>
      </c>
      <c r="B20" s="102">
        <v>45385</v>
      </c>
      <c r="C20" s="111" t="s">
        <v>246</v>
      </c>
      <c r="D20" s="103">
        <v>45385.527592592596</v>
      </c>
      <c r="E20" s="103">
        <v>45385.544953703706</v>
      </c>
      <c r="F20" s="104">
        <f>StudyLog[[#This Row],[END]]-StudyLog[[#This Row],[START]]-(StudyLog[[#This Row],[PAUSED]]/(24*60))</f>
        <v>1.7361111109494232E-2</v>
      </c>
      <c r="G20" s="105">
        <v>0</v>
      </c>
      <c r="H20" s="113">
        <v>4</v>
      </c>
      <c r="I20" s="105">
        <v>25</v>
      </c>
      <c r="J20" s="107">
        <v>3</v>
      </c>
      <c r="K20" s="108">
        <v>1</v>
      </c>
      <c r="L20" s="110">
        <f>StudyLog[[#This Row],[DAY]]</f>
        <v>45385</v>
      </c>
      <c r="M20" s="25" t="s">
        <v>233</v>
      </c>
      <c r="N20" s="13"/>
      <c r="O20" s="13"/>
    </row>
    <row r="21" spans="1:15" ht="24" x14ac:dyDescent="0.25">
      <c r="A21" s="101">
        <v>13</v>
      </c>
      <c r="B21" s="102">
        <v>45385</v>
      </c>
      <c r="C21" s="115" t="s">
        <v>245</v>
      </c>
      <c r="D21" s="103">
        <v>45385.484027777777</v>
      </c>
      <c r="E21" s="103">
        <v>45385.516412037039</v>
      </c>
      <c r="F21" s="104">
        <f>StudyLog[[#This Row],[END]]-StudyLog[[#This Row],[START]]-(StudyLog[[#This Row],[PAUSED]]/(24*60))</f>
        <v>3.238425926247146E-2</v>
      </c>
      <c r="G21" s="105">
        <v>0</v>
      </c>
      <c r="H21" s="113">
        <v>4</v>
      </c>
      <c r="I21" s="105">
        <v>45</v>
      </c>
      <c r="J21" s="107">
        <v>2</v>
      </c>
      <c r="K21" s="108">
        <v>1</v>
      </c>
      <c r="L21" s="110">
        <f>StudyLog[[#This Row],[DAY]]</f>
        <v>45385</v>
      </c>
      <c r="M21" s="25"/>
      <c r="N21" s="13"/>
      <c r="O21" s="13"/>
    </row>
    <row r="22" spans="1:15" ht="24" x14ac:dyDescent="0.25">
      <c r="A22" s="101">
        <v>13</v>
      </c>
      <c r="B22" s="102">
        <v>45385</v>
      </c>
      <c r="C22" s="111" t="s">
        <v>244</v>
      </c>
      <c r="D22" s="103">
        <v>45385.436990740738</v>
      </c>
      <c r="E22" s="103">
        <v>45385.473425925928</v>
      </c>
      <c r="F22" s="104">
        <f>StudyLog[[#This Row],[END]]-StudyLog[[#This Row],[START]]-(StudyLog[[#This Row],[PAUSED]]/(24*60))</f>
        <v>3.5046296300586414E-2</v>
      </c>
      <c r="G22" s="105">
        <v>2</v>
      </c>
      <c r="H22" s="113">
        <v>4</v>
      </c>
      <c r="I22" s="105">
        <v>40</v>
      </c>
      <c r="J22" s="107">
        <v>3</v>
      </c>
      <c r="K22" s="108">
        <v>1</v>
      </c>
      <c r="L22" s="110">
        <f>StudyLog[[#This Row],[DAY]]</f>
        <v>45385</v>
      </c>
      <c r="M22" s="25"/>
      <c r="N22" s="13"/>
      <c r="O22" s="13"/>
    </row>
    <row r="23" spans="1:15" ht="24" x14ac:dyDescent="0.25">
      <c r="A23" s="101">
        <v>13</v>
      </c>
      <c r="B23" s="102">
        <v>45384</v>
      </c>
      <c r="C23" s="115" t="s">
        <v>238</v>
      </c>
      <c r="D23" s="103">
        <v>45384.853067129632</v>
      </c>
      <c r="E23" s="103">
        <v>45384.878449074073</v>
      </c>
      <c r="F23" s="104">
        <f>StudyLog[[#This Row],[END]]-StudyLog[[#This Row],[START]]-(StudyLog[[#This Row],[PAUSED]]/(24*60))</f>
        <v>2.5381944440596271E-2</v>
      </c>
      <c r="G23" s="105">
        <v>0</v>
      </c>
      <c r="H23" s="112">
        <v>3</v>
      </c>
      <c r="I23" s="105">
        <v>30</v>
      </c>
      <c r="J23" s="107">
        <v>2</v>
      </c>
      <c r="K23" s="108">
        <v>1</v>
      </c>
      <c r="L23" s="110">
        <f>StudyLog[[#This Row],[DAY]]</f>
        <v>45384</v>
      </c>
      <c r="M23" s="25"/>
      <c r="N23" s="13"/>
      <c r="O23" s="13"/>
    </row>
    <row r="24" spans="1:15" ht="24" x14ac:dyDescent="0.25">
      <c r="A24" s="101">
        <v>13</v>
      </c>
      <c r="B24" s="102">
        <v>45384</v>
      </c>
      <c r="C24" s="114" t="s">
        <v>237</v>
      </c>
      <c r="D24" s="103">
        <v>45384.765659722223</v>
      </c>
      <c r="E24" s="103">
        <v>45384.786493055559</v>
      </c>
      <c r="F24" s="104">
        <f>StudyLog[[#This Row],[END]]-StudyLog[[#This Row],[START]]-(StudyLog[[#This Row],[PAUSED]]/(24*60))</f>
        <v>2.0833333335758653E-2</v>
      </c>
      <c r="G24" s="105">
        <v>0</v>
      </c>
      <c r="H24" s="112">
        <v>3</v>
      </c>
      <c r="I24" s="105">
        <v>30</v>
      </c>
      <c r="J24" s="107">
        <v>1</v>
      </c>
      <c r="K24" s="108">
        <v>1</v>
      </c>
      <c r="L24" s="110">
        <f>StudyLog[[#This Row],[DAY]]</f>
        <v>45384</v>
      </c>
      <c r="M24" s="25"/>
      <c r="N24" s="13"/>
      <c r="O24" s="13"/>
    </row>
    <row r="25" spans="1:15" ht="24" x14ac:dyDescent="0.25">
      <c r="A25" s="101">
        <v>12</v>
      </c>
      <c r="B25" s="102">
        <v>45384</v>
      </c>
      <c r="C25" s="111" t="s">
        <v>236</v>
      </c>
      <c r="D25" s="103">
        <v>45384.605462962965</v>
      </c>
      <c r="E25" s="103">
        <v>45384.62976851852</v>
      </c>
      <c r="F25" s="104">
        <f>StudyLog[[#This Row],[END]]-StudyLog[[#This Row],[START]]-(StudyLog[[#This Row],[PAUSED]]/(24*60))</f>
        <v>2.4305555554747116E-2</v>
      </c>
      <c r="G25" s="105">
        <v>0</v>
      </c>
      <c r="H25" s="112">
        <v>3</v>
      </c>
      <c r="I25" s="105">
        <v>35</v>
      </c>
      <c r="J25" s="107">
        <v>3</v>
      </c>
      <c r="K25" s="108">
        <v>1</v>
      </c>
      <c r="L25" s="110">
        <f>StudyLog[[#This Row],[DAY]]</f>
        <v>45384</v>
      </c>
      <c r="N25" s="13"/>
      <c r="O25" s="13"/>
    </row>
    <row r="26" spans="1:15" ht="72" x14ac:dyDescent="0.25">
      <c r="A26" s="101">
        <v>12</v>
      </c>
      <c r="B26" s="102">
        <v>45384</v>
      </c>
      <c r="C26" s="114" t="s">
        <v>235</v>
      </c>
      <c r="D26" s="103">
        <v>45384.498796296299</v>
      </c>
      <c r="E26" s="103">
        <v>45384.535937499997</v>
      </c>
      <c r="F26" s="104">
        <f>StudyLog[[#This Row],[END]]-StudyLog[[#This Row],[START]]-(StudyLog[[#This Row],[PAUSED]]/(24*60))</f>
        <v>3.7141203698411118E-2</v>
      </c>
      <c r="G26" s="105">
        <v>0</v>
      </c>
      <c r="H26" s="113">
        <v>4.5</v>
      </c>
      <c r="I26" s="105">
        <v>30</v>
      </c>
      <c r="J26" s="107">
        <v>1</v>
      </c>
      <c r="K26" s="108">
        <v>1</v>
      </c>
      <c r="L26" s="110">
        <f>StudyLog[[#This Row],[DAY]]</f>
        <v>45384</v>
      </c>
      <c r="N26" s="13"/>
      <c r="O26" s="13"/>
    </row>
    <row r="27" spans="1:15" ht="24" x14ac:dyDescent="0.25">
      <c r="A27" s="101">
        <v>12</v>
      </c>
      <c r="B27" s="102">
        <v>45384</v>
      </c>
      <c r="C27" s="114" t="s">
        <v>234</v>
      </c>
      <c r="D27" s="103">
        <v>45384.414965277778</v>
      </c>
      <c r="E27" s="103">
        <v>45384.442743055559</v>
      </c>
      <c r="F27" s="104">
        <f>StudyLog[[#This Row],[END]]-StudyLog[[#This Row],[START]]-(StudyLog[[#This Row],[PAUSED]]/(24*60))</f>
        <v>2.7777777781011537E-2</v>
      </c>
      <c r="G27" s="105">
        <v>0</v>
      </c>
      <c r="H27" s="112">
        <v>3</v>
      </c>
      <c r="I27" s="105">
        <v>40</v>
      </c>
      <c r="J27" s="107">
        <v>1</v>
      </c>
      <c r="K27" s="108">
        <v>1</v>
      </c>
      <c r="L27" s="110">
        <f>StudyLog[[#This Row],[DAY]]</f>
        <v>45384</v>
      </c>
      <c r="N27" s="13"/>
      <c r="O27" s="13"/>
    </row>
    <row r="28" spans="1:15" ht="24" x14ac:dyDescent="0.25">
      <c r="A28" s="101">
        <v>11</v>
      </c>
      <c r="B28" s="102">
        <v>45382</v>
      </c>
      <c r="C28" s="114" t="s">
        <v>230</v>
      </c>
      <c r="D28" s="103">
        <v>45382.562199074076</v>
      </c>
      <c r="E28" s="103">
        <v>45382.605868055558</v>
      </c>
      <c r="F28" s="104">
        <f>StudyLog[[#This Row],[END]]-StudyLog[[#This Row],[START]]-(StudyLog[[#This Row],[PAUSED]]/(24*60))</f>
        <v>4.3668981481459923E-2</v>
      </c>
      <c r="G28" s="105">
        <v>0</v>
      </c>
      <c r="H28" s="116">
        <v>2</v>
      </c>
      <c r="I28" s="105">
        <v>35</v>
      </c>
      <c r="J28" s="107">
        <v>1</v>
      </c>
      <c r="K28" s="108">
        <v>1</v>
      </c>
      <c r="L28" s="110">
        <f>StudyLog[[#This Row],[DAY]]</f>
        <v>45382</v>
      </c>
    </row>
    <row r="29" spans="1:15" ht="24" x14ac:dyDescent="0.25">
      <c r="A29" s="101">
        <v>11</v>
      </c>
      <c r="B29" s="102">
        <v>45382</v>
      </c>
      <c r="C29" s="114" t="s">
        <v>229</v>
      </c>
      <c r="D29" s="103">
        <v>45382.522013888891</v>
      </c>
      <c r="E29" s="103">
        <v>45382.55673611111</v>
      </c>
      <c r="F29" s="104">
        <f>StudyLog[[#This Row],[END]]-StudyLog[[#This Row],[START]]-(StudyLog[[#This Row],[PAUSED]]/(24*60))</f>
        <v>3.4722222218988463E-2</v>
      </c>
      <c r="G29" s="105">
        <v>0</v>
      </c>
      <c r="H29" s="116">
        <v>2</v>
      </c>
      <c r="I29" s="105">
        <v>50</v>
      </c>
      <c r="J29" s="107">
        <v>1</v>
      </c>
      <c r="K29" s="108">
        <v>1</v>
      </c>
      <c r="L29" s="110">
        <f>StudyLog[[#This Row],[DAY]]</f>
        <v>45382</v>
      </c>
    </row>
    <row r="30" spans="1:15" ht="48" x14ac:dyDescent="0.25">
      <c r="A30" s="101">
        <v>11</v>
      </c>
      <c r="B30" s="102">
        <v>45381</v>
      </c>
      <c r="C30" s="111" t="s">
        <v>228</v>
      </c>
      <c r="D30" s="103">
        <v>45381.450821759259</v>
      </c>
      <c r="E30" s="103">
        <v>45381.533634259256</v>
      </c>
      <c r="F30" s="104">
        <f>StudyLog[[#This Row],[END]]-StudyLog[[#This Row],[START]]-(StudyLog[[#This Row],[PAUSED]]/(24*60))</f>
        <v>7.2395833330422946E-2</v>
      </c>
      <c r="G30" s="105">
        <v>15</v>
      </c>
      <c r="H30" s="112">
        <v>3</v>
      </c>
      <c r="I30" s="105">
        <v>45</v>
      </c>
      <c r="J30" s="107">
        <v>3</v>
      </c>
      <c r="K30" s="108">
        <v>1</v>
      </c>
      <c r="L30" s="110">
        <f>StudyLog[[#This Row],[DAY]]</f>
        <v>45381</v>
      </c>
    </row>
    <row r="31" spans="1:15" ht="26" customHeight="1" x14ac:dyDescent="0.25">
      <c r="A31" s="101">
        <v>11</v>
      </c>
      <c r="B31" s="102">
        <v>45380</v>
      </c>
      <c r="C31" s="115" t="s">
        <v>227</v>
      </c>
      <c r="D31" s="103">
        <v>45380.672650462962</v>
      </c>
      <c r="E31" s="103">
        <v>45380.696956018517</v>
      </c>
      <c r="F31" s="104">
        <f>StudyLog[[#This Row],[END]]-StudyLog[[#This Row],[START]]-(StudyLog[[#This Row],[PAUSED]]/(24*60))</f>
        <v>2.4305555554747116E-2</v>
      </c>
      <c r="G31" s="105">
        <v>0</v>
      </c>
      <c r="H31" s="116">
        <v>2</v>
      </c>
      <c r="I31" s="105">
        <v>35</v>
      </c>
      <c r="J31" s="107">
        <v>2</v>
      </c>
      <c r="K31" s="108">
        <v>1</v>
      </c>
      <c r="L31" s="110">
        <f>StudyLog[[#This Row],[DAY]]</f>
        <v>45380</v>
      </c>
    </row>
    <row r="32" spans="1:15" ht="30" customHeight="1" x14ac:dyDescent="0.25">
      <c r="A32" s="101">
        <v>11</v>
      </c>
      <c r="B32" s="102">
        <v>45380</v>
      </c>
      <c r="C32" s="114" t="s">
        <v>226</v>
      </c>
      <c r="D32" s="103">
        <v>45380.616307870368</v>
      </c>
      <c r="E32" s="103">
        <v>45380.647951388892</v>
      </c>
      <c r="F32" s="104">
        <f>StudyLog[[#This Row],[END]]-StudyLog[[#This Row],[START]]-(StudyLog[[#This Row],[PAUSED]]/(24*60))</f>
        <v>3.164351852319669E-2</v>
      </c>
      <c r="G32" s="105">
        <v>0</v>
      </c>
      <c r="H32" s="112">
        <v>3</v>
      </c>
      <c r="I32" s="105">
        <v>30</v>
      </c>
      <c r="J32" s="107">
        <v>1</v>
      </c>
      <c r="K32" s="108">
        <v>1</v>
      </c>
      <c r="L32" s="110">
        <f>StudyLog[[#This Row],[DAY]]</f>
        <v>45380</v>
      </c>
    </row>
    <row r="33" spans="1:12" ht="24" x14ac:dyDescent="0.25">
      <c r="A33" s="101">
        <v>11</v>
      </c>
      <c r="B33" s="102">
        <v>45380</v>
      </c>
      <c r="C33" s="114" t="s">
        <v>225</v>
      </c>
      <c r="D33" s="103">
        <v>45380.56318287037</v>
      </c>
      <c r="E33" s="103">
        <v>45380.584016203706</v>
      </c>
      <c r="F33" s="104">
        <f>StudyLog[[#This Row],[END]]-StudyLog[[#This Row],[START]]-(StudyLog[[#This Row],[PAUSED]]/(24*60))</f>
        <v>2.0833333335758653E-2</v>
      </c>
      <c r="G33" s="105">
        <v>0</v>
      </c>
      <c r="H33" s="123">
        <v>1</v>
      </c>
      <c r="I33" s="105">
        <v>30</v>
      </c>
      <c r="J33" s="107">
        <v>1</v>
      </c>
      <c r="K33" s="108">
        <v>1</v>
      </c>
      <c r="L33" s="110">
        <f>StudyLog[[#This Row],[DAY]]</f>
        <v>45380</v>
      </c>
    </row>
    <row r="34" spans="1:12" ht="24" x14ac:dyDescent="0.25">
      <c r="A34" s="101">
        <v>11</v>
      </c>
      <c r="B34" s="102">
        <v>45380</v>
      </c>
      <c r="C34" s="115" t="s">
        <v>224</v>
      </c>
      <c r="D34" s="103">
        <v>45380.511180555557</v>
      </c>
      <c r="E34" s="103">
        <v>45380.544456018521</v>
      </c>
      <c r="F34" s="104">
        <f>StudyLog[[#This Row],[END]]-StudyLog[[#This Row],[START]]-(StudyLog[[#This Row],[PAUSED]]/(24*60))</f>
        <v>3.3275462963501923E-2</v>
      </c>
      <c r="G34" s="105">
        <v>0</v>
      </c>
      <c r="H34" s="112">
        <v>3</v>
      </c>
      <c r="I34" s="105">
        <v>30</v>
      </c>
      <c r="J34" s="107">
        <v>2</v>
      </c>
      <c r="K34" s="108">
        <v>1</v>
      </c>
      <c r="L34" s="110">
        <f>StudyLog[[#This Row],[DAY]]</f>
        <v>45380</v>
      </c>
    </row>
    <row r="35" spans="1:12" ht="24" x14ac:dyDescent="0.25">
      <c r="A35" s="101">
        <v>11</v>
      </c>
      <c r="B35" s="102">
        <v>45379</v>
      </c>
      <c r="C35" s="117" t="s">
        <v>223</v>
      </c>
      <c r="D35" s="103">
        <v>45379.560937499999</v>
      </c>
      <c r="E35" s="103">
        <v>45379.60260416667</v>
      </c>
      <c r="F35" s="104">
        <f>StudyLog[[#This Row],[END]]-StudyLog[[#This Row],[START]]-(StudyLog[[#This Row],[PAUSED]]/(24*60))</f>
        <v>2.4305555560406193E-2</v>
      </c>
      <c r="G35" s="105">
        <v>25</v>
      </c>
      <c r="H35" s="116">
        <v>2</v>
      </c>
      <c r="I35" s="105">
        <v>60</v>
      </c>
      <c r="J35" s="107">
        <v>4</v>
      </c>
      <c r="K35" s="108">
        <v>1</v>
      </c>
      <c r="L35" s="110">
        <f>StudyLog[[#This Row],[DAY]]</f>
        <v>45379</v>
      </c>
    </row>
    <row r="36" spans="1:12" ht="24" x14ac:dyDescent="0.25">
      <c r="A36" s="101">
        <v>11</v>
      </c>
      <c r="B36" s="102">
        <v>45379</v>
      </c>
      <c r="C36" s="130" t="s">
        <v>222</v>
      </c>
      <c r="D36" s="103">
        <v>45379.511400462965</v>
      </c>
      <c r="E36" s="103">
        <v>45379.53570601852</v>
      </c>
      <c r="F36" s="104">
        <f>StudyLog[[#This Row],[END]]-StudyLog[[#This Row],[START]]-(StudyLog[[#This Row],[PAUSED]]/(24*60))</f>
        <v>2.4305555554747116E-2</v>
      </c>
      <c r="G36" s="105">
        <v>0</v>
      </c>
      <c r="H36" s="112">
        <v>3</v>
      </c>
      <c r="I36" s="105">
        <v>35</v>
      </c>
      <c r="J36" s="107">
        <v>4</v>
      </c>
      <c r="K36" s="108">
        <v>1</v>
      </c>
      <c r="L36" s="110">
        <f>StudyLog[[#This Row],[DAY]]</f>
        <v>45379</v>
      </c>
    </row>
    <row r="37" spans="1:12" ht="24" x14ac:dyDescent="0.25">
      <c r="A37" s="101">
        <v>11</v>
      </c>
      <c r="B37" s="102">
        <v>45379</v>
      </c>
      <c r="C37" s="115" t="s">
        <v>221</v>
      </c>
      <c r="D37" s="103">
        <v>45379.432523148149</v>
      </c>
      <c r="E37" s="103">
        <v>45379.471898148149</v>
      </c>
      <c r="F37" s="104">
        <f>StudyLog[[#This Row],[END]]-StudyLog[[#This Row],[START]]-(StudyLog[[#This Row],[PAUSED]]/(24*60))</f>
        <v>3.9375000000291038E-2</v>
      </c>
      <c r="G37" s="105">
        <v>0</v>
      </c>
      <c r="H37" s="113">
        <v>4</v>
      </c>
      <c r="I37" s="105">
        <v>45</v>
      </c>
      <c r="J37" s="107">
        <v>2</v>
      </c>
      <c r="K37" s="108">
        <v>1</v>
      </c>
      <c r="L37" s="110">
        <f>StudyLog[[#This Row],[DAY]]</f>
        <v>45379</v>
      </c>
    </row>
    <row r="38" spans="1:12" ht="24" x14ac:dyDescent="0.25">
      <c r="A38" s="101">
        <v>11</v>
      </c>
      <c r="B38" s="102">
        <v>45379</v>
      </c>
      <c r="C38" s="114" t="s">
        <v>220</v>
      </c>
      <c r="D38" s="103">
        <v>45378.875</v>
      </c>
      <c r="E38" s="103">
        <v>45378.899618055555</v>
      </c>
      <c r="F38" s="104">
        <f>StudyLog[[#This Row],[END]]-StudyLog[[#This Row],[START]]-(StudyLog[[#This Row],[PAUSED]]/(24*60))</f>
        <v>2.4618055555038154E-2</v>
      </c>
      <c r="G38" s="105">
        <v>0</v>
      </c>
      <c r="H38" s="112">
        <v>3</v>
      </c>
      <c r="I38" s="105">
        <v>35</v>
      </c>
      <c r="J38" s="107">
        <v>1</v>
      </c>
      <c r="K38" s="108">
        <v>1</v>
      </c>
      <c r="L38" s="110">
        <f>StudyLog[[#This Row],[DAY]]</f>
        <v>45379</v>
      </c>
    </row>
    <row r="39" spans="1:12" ht="48" x14ac:dyDescent="0.25">
      <c r="A39" s="101">
        <v>10</v>
      </c>
      <c r="B39" s="102">
        <v>45377</v>
      </c>
      <c r="C39" s="114" t="s">
        <v>187</v>
      </c>
      <c r="D39" s="103">
        <v>45377.564444444448</v>
      </c>
      <c r="E39" s="103">
        <v>45377.599166666667</v>
      </c>
      <c r="F39" s="104">
        <f>StudyLog[[#This Row],[END]]-StudyLog[[#This Row],[START]]-(StudyLog[[#This Row],[PAUSED]]/(24*60))</f>
        <v>3.4722222218988463E-2</v>
      </c>
      <c r="G39" s="105">
        <v>0</v>
      </c>
      <c r="H39" s="113">
        <v>4</v>
      </c>
      <c r="I39" s="105">
        <v>50</v>
      </c>
      <c r="J39" s="107">
        <v>1</v>
      </c>
      <c r="K39" s="108">
        <v>1</v>
      </c>
      <c r="L39" s="110">
        <f>StudyLog[[#This Row],[DAY]]</f>
        <v>45377</v>
      </c>
    </row>
    <row r="40" spans="1:12" ht="48" x14ac:dyDescent="0.25">
      <c r="A40" s="101">
        <v>10</v>
      </c>
      <c r="B40" s="102">
        <v>45377</v>
      </c>
      <c r="C40" s="114" t="s">
        <v>186</v>
      </c>
      <c r="D40" s="103">
        <v>45377.507280092592</v>
      </c>
      <c r="E40" s="103">
        <v>45377.541620370372</v>
      </c>
      <c r="F40" s="104">
        <f>StudyLog[[#This Row],[END]]-StudyLog[[#This Row],[START]]-(StudyLog[[#This Row],[PAUSED]]/(24*60))</f>
        <v>3.4340277779847383E-2</v>
      </c>
      <c r="G40" s="105">
        <v>0</v>
      </c>
      <c r="H40" s="113">
        <v>4</v>
      </c>
      <c r="I40" s="105">
        <v>20</v>
      </c>
      <c r="J40" s="107">
        <v>1</v>
      </c>
      <c r="K40" s="108">
        <v>1</v>
      </c>
      <c r="L40" s="110">
        <f>StudyLog[[#This Row],[DAY]]</f>
        <v>45377</v>
      </c>
    </row>
    <row r="41" spans="1:12" ht="48" x14ac:dyDescent="0.25">
      <c r="A41" s="101">
        <v>10</v>
      </c>
      <c r="B41" s="102">
        <v>45377</v>
      </c>
      <c r="C41" s="115" t="s">
        <v>185</v>
      </c>
      <c r="D41" s="103">
        <v>45377.454097222224</v>
      </c>
      <c r="E41" s="103">
        <v>45377.48678240741</v>
      </c>
      <c r="F41" s="104">
        <f>StudyLog[[#This Row],[END]]-StudyLog[[#This Row],[START]]-(StudyLog[[#This Row],[PAUSED]]/(24*60))</f>
        <v>3.2685185185982846E-2</v>
      </c>
      <c r="G41" s="105">
        <v>0</v>
      </c>
      <c r="H41" s="113">
        <v>4</v>
      </c>
      <c r="I41" s="105">
        <v>45</v>
      </c>
      <c r="J41" s="107">
        <v>2</v>
      </c>
      <c r="K41" s="108">
        <v>1</v>
      </c>
      <c r="L41" s="110">
        <f>StudyLog[[#This Row],[DAY]]</f>
        <v>45377</v>
      </c>
    </row>
    <row r="42" spans="1:12" ht="24" x14ac:dyDescent="0.25">
      <c r="A42" s="101">
        <v>10</v>
      </c>
      <c r="B42" s="102">
        <v>45377</v>
      </c>
      <c r="C42" s="115" t="s">
        <v>184</v>
      </c>
      <c r="D42" s="103">
        <v>45377.410821759258</v>
      </c>
      <c r="E42" s="103">
        <v>45377.440439814818</v>
      </c>
      <c r="F42" s="104">
        <f>StudyLog[[#This Row],[END]]-StudyLog[[#This Row],[START]]-(StudyLog[[#This Row],[PAUSED]]/(24*60))</f>
        <v>2.9618055559694767E-2</v>
      </c>
      <c r="G42" s="105">
        <v>0</v>
      </c>
      <c r="H42" s="113">
        <v>4</v>
      </c>
      <c r="I42" s="105">
        <v>30</v>
      </c>
      <c r="J42" s="107">
        <v>2</v>
      </c>
      <c r="K42" s="108">
        <v>1</v>
      </c>
      <c r="L42" s="110">
        <f>StudyLog[[#This Row],[DAY]]</f>
        <v>45377</v>
      </c>
    </row>
    <row r="43" spans="1:12" ht="24" x14ac:dyDescent="0.25">
      <c r="A43" s="101">
        <v>10</v>
      </c>
      <c r="B43" s="102">
        <v>45376</v>
      </c>
      <c r="C43" s="121" t="s">
        <v>178</v>
      </c>
      <c r="D43" s="103">
        <v>45376.88212962963</v>
      </c>
      <c r="E43" s="103">
        <v>45376.906435185185</v>
      </c>
      <c r="F43" s="104">
        <f>StudyLog[[#This Row],[END]]-StudyLog[[#This Row],[START]]-(StudyLog[[#This Row],[PAUSED]]/(24*60))</f>
        <v>2.4305555554747116E-2</v>
      </c>
      <c r="G43" s="105">
        <v>0</v>
      </c>
      <c r="H43" s="113">
        <v>4</v>
      </c>
      <c r="I43" s="105">
        <v>35</v>
      </c>
      <c r="J43" s="107">
        <v>5</v>
      </c>
      <c r="K43" s="108">
        <v>1</v>
      </c>
      <c r="L43" s="110">
        <f>StudyLog[[#This Row],[DAY]]</f>
        <v>45376</v>
      </c>
    </row>
    <row r="44" spans="1:12" ht="168" x14ac:dyDescent="0.25">
      <c r="A44" s="101">
        <v>10</v>
      </c>
      <c r="B44" s="102">
        <v>45376</v>
      </c>
      <c r="C44" s="121" t="s">
        <v>175</v>
      </c>
      <c r="D44" s="103">
        <v>45376.835173611114</v>
      </c>
      <c r="E44" s="103">
        <v>45376.861064814817</v>
      </c>
      <c r="F44" s="104">
        <f>StudyLog[[#This Row],[END]]-StudyLog[[#This Row],[START]]-(StudyLog[[#This Row],[PAUSED]]/(24*60))</f>
        <v>2.5891203702485655E-2</v>
      </c>
      <c r="G44" s="105">
        <v>0</v>
      </c>
      <c r="H44" s="113">
        <v>4</v>
      </c>
      <c r="I44" s="105">
        <v>30</v>
      </c>
      <c r="J44" s="107">
        <v>5</v>
      </c>
      <c r="K44" s="108">
        <v>1</v>
      </c>
      <c r="L44" s="110">
        <f>StudyLog[[#This Row],[DAY]]</f>
        <v>45376</v>
      </c>
    </row>
    <row r="45" spans="1:12" ht="72" x14ac:dyDescent="0.25">
      <c r="A45" s="101">
        <v>10</v>
      </c>
      <c r="B45" s="102">
        <v>45376</v>
      </c>
      <c r="C45" s="121" t="s">
        <v>174</v>
      </c>
      <c r="D45" s="103">
        <v>45376.417743055557</v>
      </c>
      <c r="E45" s="103">
        <v>45376.45722222222</v>
      </c>
      <c r="F45" s="104">
        <f>StudyLog[[#This Row],[END]]-StudyLog[[#This Row],[START]]-(StudyLog[[#This Row],[PAUSED]]/(24*60))</f>
        <v>2.2118055551092967E-2</v>
      </c>
      <c r="G45" s="105">
        <v>25</v>
      </c>
      <c r="H45" s="116">
        <v>2</v>
      </c>
      <c r="I45" s="105">
        <v>35</v>
      </c>
      <c r="J45" s="107">
        <v>5</v>
      </c>
      <c r="K45" s="108">
        <v>1</v>
      </c>
      <c r="L45" s="110">
        <f>StudyLog[[#This Row],[DAY]]</f>
        <v>45376</v>
      </c>
    </row>
    <row r="46" spans="1:12" ht="48" x14ac:dyDescent="0.25">
      <c r="A46" s="101">
        <v>10</v>
      </c>
      <c r="B46" s="102">
        <v>45376</v>
      </c>
      <c r="C46" s="114" t="s">
        <v>173</v>
      </c>
      <c r="D46" s="103">
        <v>45376.36822916667</v>
      </c>
      <c r="E46" s="103">
        <v>45376.408148148148</v>
      </c>
      <c r="F46" s="104">
        <f>StudyLog[[#This Row],[END]]-StudyLog[[#This Row],[START]]-(StudyLog[[#This Row],[PAUSED]]/(24*60))</f>
        <v>3.9918981477967463E-2</v>
      </c>
      <c r="G46" s="105">
        <v>0</v>
      </c>
      <c r="H46" s="116">
        <v>2</v>
      </c>
      <c r="I46" s="105">
        <v>25</v>
      </c>
      <c r="J46" s="107">
        <v>1</v>
      </c>
      <c r="K46" s="108">
        <v>1</v>
      </c>
      <c r="L46" s="110">
        <f>StudyLog[[#This Row],[DAY]]</f>
        <v>45376</v>
      </c>
    </row>
    <row r="47" spans="1:12" ht="48" x14ac:dyDescent="0.25">
      <c r="A47" s="101">
        <v>10</v>
      </c>
      <c r="B47" s="102">
        <v>45375</v>
      </c>
      <c r="C47" s="118" t="s">
        <v>172</v>
      </c>
      <c r="D47" s="103">
        <v>45375.722291666665</v>
      </c>
      <c r="E47" s="103">
        <v>45375.755185185182</v>
      </c>
      <c r="F47" s="104">
        <f>StudyLog[[#This Row],[END]]-StudyLog[[#This Row],[START]]-(StudyLog[[#This Row],[PAUSED]]/(24*60))</f>
        <v>3.2893518517084885E-2</v>
      </c>
      <c r="G47" s="105">
        <v>0</v>
      </c>
      <c r="H47" s="112">
        <v>3</v>
      </c>
      <c r="I47" s="105">
        <v>30</v>
      </c>
      <c r="J47" s="107">
        <v>6</v>
      </c>
      <c r="K47" s="108">
        <v>1</v>
      </c>
      <c r="L47" s="110">
        <f>StudyLog[[#This Row],[DAY]]</f>
        <v>45375</v>
      </c>
    </row>
    <row r="48" spans="1:12" ht="24" x14ac:dyDescent="0.25">
      <c r="A48" s="101">
        <v>10</v>
      </c>
      <c r="B48" s="102">
        <v>45375</v>
      </c>
      <c r="C48" s="117" t="s">
        <v>171</v>
      </c>
      <c r="D48" s="103">
        <v>45375.661793981482</v>
      </c>
      <c r="E48" s="103">
        <v>45375.711736111109</v>
      </c>
      <c r="F48" s="104">
        <f>StudyLog[[#This Row],[END]]-StudyLog[[#This Row],[START]]-(StudyLog[[#This Row],[PAUSED]]/(24*60))</f>
        <v>4.6469907404065855E-2</v>
      </c>
      <c r="G48" s="105">
        <v>5</v>
      </c>
      <c r="H48" s="116">
        <v>2.5</v>
      </c>
      <c r="I48" s="105">
        <v>30</v>
      </c>
      <c r="J48" s="107">
        <v>4</v>
      </c>
      <c r="K48" s="108">
        <v>1</v>
      </c>
      <c r="L48" s="110">
        <f>StudyLog[[#This Row],[DAY]]</f>
        <v>45375</v>
      </c>
    </row>
    <row r="49" spans="1:12" ht="24" x14ac:dyDescent="0.25">
      <c r="A49" s="101">
        <v>10</v>
      </c>
      <c r="B49" s="102">
        <v>45375</v>
      </c>
      <c r="C49" s="114" t="s">
        <v>170</v>
      </c>
      <c r="D49" s="103">
        <v>45375.576238425929</v>
      </c>
      <c r="E49" s="103">
        <v>45375.607488425929</v>
      </c>
      <c r="F49" s="104">
        <f>StudyLog[[#This Row],[END]]-StudyLog[[#This Row],[START]]-(StudyLog[[#This Row],[PAUSED]]/(24*60))</f>
        <v>3.125E-2</v>
      </c>
      <c r="G49" s="105">
        <v>0</v>
      </c>
      <c r="H49" s="113">
        <v>4</v>
      </c>
      <c r="I49" s="105">
        <v>45</v>
      </c>
      <c r="J49" s="107">
        <v>1</v>
      </c>
      <c r="K49" s="108">
        <v>1</v>
      </c>
      <c r="L49" s="110">
        <f>StudyLog[[#This Row],[DAY]]</f>
        <v>45375</v>
      </c>
    </row>
    <row r="50" spans="1:12" ht="24" x14ac:dyDescent="0.25">
      <c r="A50" s="101">
        <v>10</v>
      </c>
      <c r="B50" s="102">
        <v>45375</v>
      </c>
      <c r="C50" s="118" t="s">
        <v>169</v>
      </c>
      <c r="D50" s="103">
        <v>45375.375</v>
      </c>
      <c r="E50" s="103">
        <v>45375.40625</v>
      </c>
      <c r="F50" s="104">
        <f>StudyLog[[#This Row],[END]]-StudyLog[[#This Row],[START]]-(StudyLog[[#This Row],[PAUSED]]/(24*60))</f>
        <v>2.6388888888888889E-2</v>
      </c>
      <c r="G50" s="105">
        <v>7</v>
      </c>
      <c r="H50" s="112">
        <v>3.5</v>
      </c>
      <c r="I50" s="105">
        <v>35</v>
      </c>
      <c r="J50" s="107">
        <v>6</v>
      </c>
      <c r="K50" s="108">
        <v>1</v>
      </c>
      <c r="L50" s="110">
        <f>StudyLog[[#This Row],[DAY]]</f>
        <v>45375</v>
      </c>
    </row>
    <row r="51" spans="1:12" ht="24" x14ac:dyDescent="0.25">
      <c r="A51" s="101">
        <v>9</v>
      </c>
      <c r="B51" s="102">
        <v>45373</v>
      </c>
      <c r="C51" s="118" t="s">
        <v>167</v>
      </c>
      <c r="D51" s="103">
        <v>45373.539652777778</v>
      </c>
      <c r="E51" s="103">
        <v>45373.563958333332</v>
      </c>
      <c r="F51" s="104">
        <f>StudyLog[[#This Row],[END]]-StudyLog[[#This Row],[START]]-(StudyLog[[#This Row],[PAUSED]]/(24*60))</f>
        <v>2.4305555554747116E-2</v>
      </c>
      <c r="G51" s="105">
        <v>0</v>
      </c>
      <c r="H51" s="113">
        <v>4</v>
      </c>
      <c r="I51" s="105">
        <v>35</v>
      </c>
      <c r="J51" s="107">
        <v>6</v>
      </c>
      <c r="K51" s="108">
        <v>1</v>
      </c>
      <c r="L51" s="110">
        <f>StudyLog[[#This Row],[DAY]]</f>
        <v>45373</v>
      </c>
    </row>
    <row r="52" spans="1:12" ht="24" x14ac:dyDescent="0.25">
      <c r="A52" s="101">
        <v>9</v>
      </c>
      <c r="B52" s="102">
        <v>45373</v>
      </c>
      <c r="C52" s="115" t="s">
        <v>166</v>
      </c>
      <c r="D52" s="103">
        <v>45373.50236111111</v>
      </c>
      <c r="E52" s="103">
        <v>45373.516250000001</v>
      </c>
      <c r="F52" s="104">
        <f>StudyLog[[#This Row],[END]]-StudyLog[[#This Row],[START]]-(StudyLog[[#This Row],[PAUSED]]/(24*60))</f>
        <v>1.3888888890505768E-2</v>
      </c>
      <c r="G52" s="105">
        <v>0</v>
      </c>
      <c r="H52" s="124">
        <v>5</v>
      </c>
      <c r="I52" s="105">
        <v>20</v>
      </c>
      <c r="J52" s="107">
        <v>2</v>
      </c>
      <c r="K52" s="108">
        <v>1</v>
      </c>
      <c r="L52" s="110">
        <f>StudyLog[[#This Row],[DAY]]</f>
        <v>45373</v>
      </c>
    </row>
    <row r="53" spans="1:12" ht="48" x14ac:dyDescent="0.25">
      <c r="A53" s="101">
        <v>9</v>
      </c>
      <c r="B53" s="102">
        <v>45373</v>
      </c>
      <c r="C53" s="117" t="s">
        <v>165</v>
      </c>
      <c r="D53" s="103">
        <v>45373.484652777777</v>
      </c>
      <c r="E53" s="103">
        <v>45373.498541666668</v>
      </c>
      <c r="F53" s="104">
        <f>StudyLog[[#This Row],[END]]-StudyLog[[#This Row],[START]]-(StudyLog[[#This Row],[PAUSED]]/(24*60))</f>
        <v>1.3888888890505768E-2</v>
      </c>
      <c r="G53" s="105">
        <v>0</v>
      </c>
      <c r="H53" s="124">
        <v>5</v>
      </c>
      <c r="I53" s="105">
        <v>20</v>
      </c>
      <c r="J53" s="107">
        <v>4</v>
      </c>
      <c r="K53" s="108">
        <v>1</v>
      </c>
      <c r="L53" s="110">
        <f>StudyLog[[#This Row],[DAY]]</f>
        <v>45373</v>
      </c>
    </row>
    <row r="54" spans="1:12" ht="48" x14ac:dyDescent="0.25">
      <c r="A54" s="101">
        <v>9</v>
      </c>
      <c r="B54" s="102">
        <v>45373</v>
      </c>
      <c r="C54" s="114" t="s">
        <v>164</v>
      </c>
      <c r="D54" s="103">
        <v>45373.453587962962</v>
      </c>
      <c r="E54" s="103">
        <v>45373.477106481485</v>
      </c>
      <c r="F54" s="104">
        <f>StudyLog[[#This Row],[END]]-StudyLog[[#This Row],[START]]-(StudyLog[[#This Row],[PAUSED]]/(24*60))</f>
        <v>2.3518518522905651E-2</v>
      </c>
      <c r="G54" s="105">
        <v>0</v>
      </c>
      <c r="H54" s="113">
        <v>4</v>
      </c>
      <c r="I54" s="105">
        <v>30</v>
      </c>
      <c r="J54" s="107">
        <v>1</v>
      </c>
      <c r="K54" s="108">
        <v>1</v>
      </c>
      <c r="L54" s="110">
        <f>StudyLog[[#This Row],[DAY]]</f>
        <v>45373</v>
      </c>
    </row>
    <row r="55" spans="1:12" ht="72" x14ac:dyDescent="0.25">
      <c r="A55" s="101">
        <v>9</v>
      </c>
      <c r="B55" s="102">
        <v>45373</v>
      </c>
      <c r="C55" s="114" t="s">
        <v>163</v>
      </c>
      <c r="D55" s="103">
        <v>45373.425810185188</v>
      </c>
      <c r="E55" s="103">
        <v>45373.446643518517</v>
      </c>
      <c r="F55" s="104">
        <f>StudyLog[[#This Row],[END]]-StudyLog[[#This Row],[START]]-(StudyLog[[#This Row],[PAUSED]]/(24*60))</f>
        <v>2.0833333328482695E-2</v>
      </c>
      <c r="G55" s="105">
        <v>0</v>
      </c>
      <c r="H55" s="112">
        <v>3.5</v>
      </c>
      <c r="I55" s="105">
        <v>30</v>
      </c>
      <c r="J55" s="107">
        <v>1</v>
      </c>
      <c r="K55" s="108">
        <v>1</v>
      </c>
      <c r="L55" s="110">
        <f>StudyLog[[#This Row],[DAY]]</f>
        <v>45373</v>
      </c>
    </row>
    <row r="56" spans="1:12" ht="24" x14ac:dyDescent="0.25">
      <c r="A56" s="101">
        <v>9</v>
      </c>
      <c r="B56" s="102">
        <v>45373</v>
      </c>
      <c r="C56" s="115" t="s">
        <v>162</v>
      </c>
      <c r="D56" s="103">
        <v>45373.388657407406</v>
      </c>
      <c r="E56" s="103">
        <v>45373.416435185187</v>
      </c>
      <c r="F56" s="104">
        <f>StudyLog[[#This Row],[END]]-StudyLog[[#This Row],[START]]-(StudyLog[[#This Row],[PAUSED]]/(24*60))</f>
        <v>2.7777777781011537E-2</v>
      </c>
      <c r="G56" s="105">
        <v>0</v>
      </c>
      <c r="H56" s="113">
        <v>4</v>
      </c>
      <c r="I56" s="105">
        <v>40</v>
      </c>
      <c r="J56" s="107">
        <v>2</v>
      </c>
      <c r="K56" s="108">
        <v>1</v>
      </c>
      <c r="L56" s="110">
        <f>StudyLog[[#This Row],[DAY]]</f>
        <v>45373</v>
      </c>
    </row>
    <row r="57" spans="1:12" ht="24" x14ac:dyDescent="0.25">
      <c r="A57" s="101">
        <v>9</v>
      </c>
      <c r="B57" s="102">
        <v>45372</v>
      </c>
      <c r="C57" s="114" t="s">
        <v>161</v>
      </c>
      <c r="D57" s="103">
        <v>45372.740972222222</v>
      </c>
      <c r="E57" s="103">
        <v>45372.761805555558</v>
      </c>
      <c r="F57" s="104">
        <f>StudyLog[[#This Row],[END]]-StudyLog[[#This Row],[START]]-(StudyLog[[#This Row],[PAUSED]]/(24*60))</f>
        <v>2.0833333335758653E-2</v>
      </c>
      <c r="G57" s="105">
        <v>0</v>
      </c>
      <c r="H57" s="112">
        <v>3</v>
      </c>
      <c r="I57" s="105">
        <v>30</v>
      </c>
      <c r="J57" s="107">
        <v>1</v>
      </c>
      <c r="K57" s="108">
        <v>1</v>
      </c>
      <c r="L57" s="110">
        <f>StudyLog[[#This Row],[DAY]]</f>
        <v>45372</v>
      </c>
    </row>
    <row r="58" spans="1:12" ht="72" x14ac:dyDescent="0.25">
      <c r="A58" s="101">
        <v>9</v>
      </c>
      <c r="B58" s="102">
        <v>45372</v>
      </c>
      <c r="C58" s="114" t="s">
        <v>160</v>
      </c>
      <c r="D58" s="103">
        <v>45372.603761574072</v>
      </c>
      <c r="E58" s="103">
        <v>45372.627708333333</v>
      </c>
      <c r="F58" s="104">
        <f>StudyLog[[#This Row],[END]]-StudyLog[[#This Row],[START]]-(StudyLog[[#This Row],[PAUSED]]/(24*60))</f>
        <v>2.3946759261889383E-2</v>
      </c>
      <c r="G58" s="105">
        <v>0</v>
      </c>
      <c r="H58" s="113">
        <v>4</v>
      </c>
      <c r="I58" s="105">
        <v>30</v>
      </c>
      <c r="J58" s="107">
        <v>1</v>
      </c>
      <c r="K58" s="108">
        <v>1</v>
      </c>
      <c r="L58" s="110">
        <f>StudyLog[[#This Row],[DAY]]</f>
        <v>45372</v>
      </c>
    </row>
    <row r="59" spans="1:12" ht="24" x14ac:dyDescent="0.25">
      <c r="A59" s="101">
        <v>9</v>
      </c>
      <c r="B59" s="102">
        <v>45372</v>
      </c>
      <c r="C59" s="117" t="s">
        <v>159</v>
      </c>
      <c r="D59" s="103">
        <v>45372.575381944444</v>
      </c>
      <c r="E59" s="103">
        <v>45372.596562500003</v>
      </c>
      <c r="F59" s="104">
        <f>StudyLog[[#This Row],[END]]-StudyLog[[#This Row],[START]]-(StudyLog[[#This Row],[PAUSED]]/(24*60))</f>
        <v>2.118055555911269E-2</v>
      </c>
      <c r="G59" s="105">
        <v>0</v>
      </c>
      <c r="H59" s="113">
        <v>4</v>
      </c>
      <c r="I59" s="105">
        <v>25</v>
      </c>
      <c r="J59" s="107">
        <v>4</v>
      </c>
      <c r="K59" s="108">
        <v>1</v>
      </c>
      <c r="L59" s="110">
        <f>StudyLog[[#This Row],[DAY]]</f>
        <v>45372</v>
      </c>
    </row>
    <row r="60" spans="1:12" ht="24" x14ac:dyDescent="0.25">
      <c r="A60" s="101">
        <v>9</v>
      </c>
      <c r="B60" s="102">
        <v>45372</v>
      </c>
      <c r="C60" s="115" t="s">
        <v>158</v>
      </c>
      <c r="D60" s="103">
        <v>45372.537847222222</v>
      </c>
      <c r="E60" s="103">
        <v>45372.562152777777</v>
      </c>
      <c r="F60" s="104">
        <f>StudyLog[[#This Row],[END]]-StudyLog[[#This Row],[START]]-(StudyLog[[#This Row],[PAUSED]]/(24*60))</f>
        <v>2.4305555554747116E-2</v>
      </c>
      <c r="G60" s="105">
        <v>0</v>
      </c>
      <c r="H60" s="113">
        <v>4</v>
      </c>
      <c r="I60" s="105">
        <v>35</v>
      </c>
      <c r="J60" s="107">
        <v>2</v>
      </c>
      <c r="K60" s="108">
        <v>1</v>
      </c>
      <c r="L60" s="110">
        <f>StudyLog[[#This Row],[DAY]]</f>
        <v>45372</v>
      </c>
    </row>
    <row r="61" spans="1:12" ht="24" x14ac:dyDescent="0.25">
      <c r="A61" s="101">
        <v>9</v>
      </c>
      <c r="B61" s="102">
        <v>45372</v>
      </c>
      <c r="C61" s="111" t="s">
        <v>157</v>
      </c>
      <c r="D61" s="103">
        <v>45372.522650462961</v>
      </c>
      <c r="E61" s="103">
        <v>45372.533067129632</v>
      </c>
      <c r="F61" s="104">
        <f>StudyLog[[#This Row],[END]]-StudyLog[[#This Row],[START]]-(StudyLog[[#This Row],[PAUSED]]/(24*60))</f>
        <v>1.0416666671517305E-2</v>
      </c>
      <c r="G61" s="105">
        <v>0</v>
      </c>
      <c r="H61" s="124">
        <v>5</v>
      </c>
      <c r="I61" s="105">
        <v>15</v>
      </c>
      <c r="J61" s="107">
        <v>3</v>
      </c>
      <c r="K61" s="108">
        <v>1</v>
      </c>
      <c r="L61" s="110">
        <f>StudyLog[[#This Row],[DAY]]</f>
        <v>45372</v>
      </c>
    </row>
    <row r="62" spans="1:12" ht="48" x14ac:dyDescent="0.25">
      <c r="A62" s="101">
        <v>9</v>
      </c>
      <c r="B62" s="102">
        <v>45372</v>
      </c>
      <c r="C62" s="111" t="s">
        <v>156</v>
      </c>
      <c r="D62" s="103">
        <v>45372.489594907405</v>
      </c>
      <c r="E62" s="103">
        <v>45372.515868055554</v>
      </c>
      <c r="F62" s="104">
        <f>StudyLog[[#This Row],[END]]-StudyLog[[#This Row],[START]]-(StudyLog[[#This Row],[PAUSED]]/(24*60))</f>
        <v>2.6273148148902692E-2</v>
      </c>
      <c r="G62" s="105">
        <v>0</v>
      </c>
      <c r="H62" s="113">
        <v>4</v>
      </c>
      <c r="I62" s="105">
        <v>30</v>
      </c>
      <c r="J62" s="107">
        <v>3</v>
      </c>
      <c r="K62" s="108">
        <v>1</v>
      </c>
      <c r="L62" s="110">
        <f>StudyLog[[#This Row],[DAY]]</f>
        <v>45372</v>
      </c>
    </row>
    <row r="63" spans="1:12" ht="48" x14ac:dyDescent="0.25">
      <c r="A63" s="101">
        <v>9</v>
      </c>
      <c r="B63" s="102">
        <v>45372</v>
      </c>
      <c r="C63" s="111" t="s">
        <v>155</v>
      </c>
      <c r="D63" s="103">
        <v>45372.449942129628</v>
      </c>
      <c r="E63" s="103">
        <v>45372.481574074074</v>
      </c>
      <c r="F63" s="104">
        <f>StudyLog[[#This Row],[END]]-StudyLog[[#This Row],[START]]-(StudyLog[[#This Row],[PAUSED]]/(24*60))</f>
        <v>3.024305555752815E-2</v>
      </c>
      <c r="G63" s="105">
        <v>2</v>
      </c>
      <c r="H63" s="113">
        <v>4</v>
      </c>
      <c r="I63" s="105">
        <v>35</v>
      </c>
      <c r="J63" s="107">
        <v>3</v>
      </c>
      <c r="K63" s="108">
        <v>1</v>
      </c>
      <c r="L63" s="110">
        <f>StudyLog[[#This Row],[DAY]]</f>
        <v>45372</v>
      </c>
    </row>
    <row r="64" spans="1:12" ht="72" x14ac:dyDescent="0.25">
      <c r="A64" s="101">
        <v>9</v>
      </c>
      <c r="B64" s="102">
        <v>45372</v>
      </c>
      <c r="C64" s="114" t="s">
        <v>154</v>
      </c>
      <c r="D64" s="103">
        <v>45372.418229166666</v>
      </c>
      <c r="E64" s="103">
        <v>45372.44253472222</v>
      </c>
      <c r="F64" s="104">
        <f>StudyLog[[#This Row],[END]]-StudyLog[[#This Row],[START]]-(StudyLog[[#This Row],[PAUSED]]/(24*60))</f>
        <v>2.2916666665858228E-2</v>
      </c>
      <c r="G64" s="105">
        <v>2</v>
      </c>
      <c r="H64" s="124">
        <v>5</v>
      </c>
      <c r="I64" s="105">
        <v>35</v>
      </c>
      <c r="J64" s="107">
        <v>1</v>
      </c>
      <c r="K64" s="108">
        <v>1</v>
      </c>
      <c r="L64" s="110">
        <f>StudyLog[[#This Row],[DAY]]</f>
        <v>45372</v>
      </c>
    </row>
    <row r="65" spans="1:12" ht="72" x14ac:dyDescent="0.25">
      <c r="A65" s="101">
        <v>9</v>
      </c>
      <c r="B65" s="102">
        <v>45371</v>
      </c>
      <c r="C65" s="114" t="s">
        <v>153</v>
      </c>
      <c r="D65" s="103">
        <v>45372.827777777777</v>
      </c>
      <c r="E65" s="103">
        <v>45372.854166666664</v>
      </c>
      <c r="F65" s="104">
        <f>StudyLog[[#This Row],[END]]-StudyLog[[#This Row],[START]]-(StudyLog[[#This Row],[PAUSED]]/(24*60))</f>
        <v>2.6388888887595385E-2</v>
      </c>
      <c r="G65" s="105">
        <v>0</v>
      </c>
      <c r="H65" s="113">
        <v>4</v>
      </c>
      <c r="I65" s="105">
        <v>30</v>
      </c>
      <c r="J65" s="107">
        <v>1</v>
      </c>
      <c r="K65" s="108">
        <v>1</v>
      </c>
      <c r="L65" s="110">
        <f>StudyLog[[#This Row],[DAY]]</f>
        <v>45371</v>
      </c>
    </row>
    <row r="66" spans="1:12" ht="24" x14ac:dyDescent="0.25">
      <c r="A66" s="101">
        <v>9</v>
      </c>
      <c r="B66" s="102">
        <v>45371</v>
      </c>
      <c r="C66" s="125" t="s">
        <v>152</v>
      </c>
      <c r="D66" s="103">
        <v>45372.800000000003</v>
      </c>
      <c r="E66" s="103">
        <v>45372.820833333331</v>
      </c>
      <c r="F66" s="104">
        <f>StudyLog[[#This Row],[END]]-StudyLog[[#This Row],[START]]-(StudyLog[[#This Row],[PAUSED]]/(24*60))</f>
        <v>1.8749999995149362E-2</v>
      </c>
      <c r="G66" s="105">
        <v>3</v>
      </c>
      <c r="H66" s="112">
        <v>3</v>
      </c>
      <c r="I66" s="105">
        <v>30</v>
      </c>
      <c r="J66" s="107">
        <v>1</v>
      </c>
      <c r="K66" s="108">
        <v>1</v>
      </c>
      <c r="L66" s="110">
        <f>StudyLog[[#This Row],[DAY]]</f>
        <v>45371</v>
      </c>
    </row>
    <row r="67" spans="1:12" ht="24" x14ac:dyDescent="0.25">
      <c r="A67" s="101">
        <v>9</v>
      </c>
      <c r="B67" s="102">
        <v>45371</v>
      </c>
      <c r="C67" s="125" t="s">
        <v>151</v>
      </c>
      <c r="D67" s="103">
        <v>45372.729861111111</v>
      </c>
      <c r="E67" s="103">
        <v>45372.74722222222</v>
      </c>
      <c r="F67" s="104">
        <f>StudyLog[[#This Row],[END]]-StudyLog[[#This Row],[START]]-(StudyLog[[#This Row],[PAUSED]]/(24*60))</f>
        <v>1.7361111109494232E-2</v>
      </c>
      <c r="G67" s="105">
        <v>0</v>
      </c>
      <c r="H67" s="116">
        <v>2.5</v>
      </c>
      <c r="I67" s="105">
        <v>30</v>
      </c>
      <c r="J67" s="107">
        <v>1</v>
      </c>
      <c r="K67" s="108">
        <v>1</v>
      </c>
      <c r="L67" s="110">
        <f>StudyLog[[#This Row],[DAY]]</f>
        <v>45371</v>
      </c>
    </row>
    <row r="68" spans="1:12" ht="24" x14ac:dyDescent="0.25">
      <c r="A68" s="101">
        <v>9</v>
      </c>
      <c r="B68" s="102">
        <v>45371</v>
      </c>
      <c r="C68" s="126" t="s">
        <v>150</v>
      </c>
      <c r="D68" s="103">
        <v>45372.375231481485</v>
      </c>
      <c r="E68" s="103">
        <v>45372.396064814813</v>
      </c>
      <c r="F68" s="104">
        <f>StudyLog[[#This Row],[END]]-StudyLog[[#This Row],[START]]-(StudyLog[[#This Row],[PAUSED]]/(24*60))</f>
        <v>2.0833333328482695E-2</v>
      </c>
      <c r="G68" s="105">
        <v>0</v>
      </c>
      <c r="H68" s="122">
        <v>4</v>
      </c>
      <c r="I68" s="105">
        <v>30</v>
      </c>
      <c r="J68" s="107">
        <v>2</v>
      </c>
      <c r="K68" s="108">
        <v>1</v>
      </c>
      <c r="L68" s="110">
        <f>StudyLog[[#This Row],[DAY]]</f>
        <v>45371</v>
      </c>
    </row>
    <row r="69" spans="1:12" ht="72" x14ac:dyDescent="0.25">
      <c r="A69" s="101">
        <v>8</v>
      </c>
      <c r="B69" s="102">
        <v>45370</v>
      </c>
      <c r="C69" s="118" t="s">
        <v>149</v>
      </c>
      <c r="D69" s="103">
        <v>45370.581597222219</v>
      </c>
      <c r="E69" s="103">
        <v>45370.602430555555</v>
      </c>
      <c r="F69" s="104">
        <f>StudyLog[[#This Row],[END]]-StudyLog[[#This Row],[START]]-(StudyLog[[#This Row],[PAUSED]]/(24*60))</f>
        <v>1.6666666669091987E-2</v>
      </c>
      <c r="G69" s="105">
        <v>6</v>
      </c>
      <c r="H69" s="112">
        <v>3</v>
      </c>
      <c r="I69" s="105">
        <v>30</v>
      </c>
      <c r="J69" s="107">
        <v>6</v>
      </c>
      <c r="K69" s="108">
        <v>1</v>
      </c>
      <c r="L69" s="110">
        <f>StudyLog[[#This Row],[DAY]]</f>
        <v>45370</v>
      </c>
    </row>
    <row r="70" spans="1:12" ht="24" x14ac:dyDescent="0.25">
      <c r="A70" s="101">
        <v>8</v>
      </c>
      <c r="B70" s="102">
        <v>45370</v>
      </c>
      <c r="C70" s="115" t="s">
        <v>148</v>
      </c>
      <c r="D70" s="103">
        <v>45370.514143518521</v>
      </c>
      <c r="E70" s="103">
        <v>45370.53497685185</v>
      </c>
      <c r="F70" s="104">
        <f>StudyLog[[#This Row],[END]]-StudyLog[[#This Row],[START]]-(StudyLog[[#This Row],[PAUSED]]/(24*60))</f>
        <v>2.0833333328482695E-2</v>
      </c>
      <c r="G70" s="105">
        <v>0</v>
      </c>
      <c r="H70" s="113">
        <v>4</v>
      </c>
      <c r="I70" s="105">
        <v>30</v>
      </c>
      <c r="J70" s="107">
        <v>2</v>
      </c>
      <c r="K70" s="108">
        <v>1</v>
      </c>
      <c r="L70" s="110">
        <f>StudyLog[[#This Row],[DAY]]</f>
        <v>45370</v>
      </c>
    </row>
    <row r="71" spans="1:12" ht="48" x14ac:dyDescent="0.25">
      <c r="A71" s="101">
        <v>8</v>
      </c>
      <c r="B71" s="102">
        <v>45370</v>
      </c>
      <c r="C71" s="114" t="s">
        <v>147</v>
      </c>
      <c r="D71" s="103">
        <v>45370.488425925927</v>
      </c>
      <c r="E71" s="103">
        <v>45370.509259259263</v>
      </c>
      <c r="F71" s="104">
        <f>StudyLog[[#This Row],[END]]-StudyLog[[#This Row],[START]]-(StudyLog[[#This Row],[PAUSED]]/(24*60))</f>
        <v>2.0833333335758653E-2</v>
      </c>
      <c r="G71" s="105">
        <v>0</v>
      </c>
      <c r="H71" s="113">
        <v>4</v>
      </c>
      <c r="I71" s="105">
        <v>30</v>
      </c>
      <c r="J71" s="107">
        <v>1</v>
      </c>
      <c r="K71" s="108">
        <v>1</v>
      </c>
      <c r="L71" s="110">
        <f>StudyLog[[#This Row],[DAY]]</f>
        <v>45370</v>
      </c>
    </row>
    <row r="72" spans="1:12" ht="24" x14ac:dyDescent="0.25">
      <c r="A72" s="101">
        <v>8</v>
      </c>
      <c r="B72" s="102">
        <v>45370</v>
      </c>
      <c r="C72" s="115" t="s">
        <v>146</v>
      </c>
      <c r="D72" s="103">
        <v>45370.459745370368</v>
      </c>
      <c r="E72" s="103">
        <v>45370.480578703704</v>
      </c>
      <c r="F72" s="104">
        <f>StudyLog[[#This Row],[END]]-StudyLog[[#This Row],[START]]-(StudyLog[[#This Row],[PAUSED]]/(24*60))</f>
        <v>2.0833333335758653E-2</v>
      </c>
      <c r="G72" s="105">
        <v>0</v>
      </c>
      <c r="H72" s="113">
        <v>4</v>
      </c>
      <c r="I72" s="105">
        <v>30</v>
      </c>
      <c r="J72" s="107">
        <v>2</v>
      </c>
      <c r="K72" s="108">
        <v>1</v>
      </c>
      <c r="L72" s="110">
        <f>StudyLog[[#This Row],[DAY]]</f>
        <v>45370</v>
      </c>
    </row>
    <row r="73" spans="1:12" ht="48" x14ac:dyDescent="0.25">
      <c r="A73" s="101">
        <v>8</v>
      </c>
      <c r="B73" s="102">
        <v>45370</v>
      </c>
      <c r="C73" s="114" t="s">
        <v>145</v>
      </c>
      <c r="D73" s="103">
        <v>45370.419606481482</v>
      </c>
      <c r="E73" s="103">
        <v>45370.450856481482</v>
      </c>
      <c r="F73" s="104">
        <f>StudyLog[[#This Row],[END]]-StudyLog[[#This Row],[START]]-(StudyLog[[#This Row],[PAUSED]]/(24*60))</f>
        <v>3.125E-2</v>
      </c>
      <c r="G73" s="105">
        <v>0</v>
      </c>
      <c r="H73" s="113">
        <v>4</v>
      </c>
      <c r="I73" s="105">
        <v>45</v>
      </c>
      <c r="J73" s="107">
        <v>1</v>
      </c>
      <c r="K73" s="108">
        <v>1</v>
      </c>
      <c r="L73" s="110">
        <f>StudyLog[[#This Row],[DAY]]</f>
        <v>45370</v>
      </c>
    </row>
    <row r="74" spans="1:12" ht="24" x14ac:dyDescent="0.25">
      <c r="A74" s="101">
        <v>8</v>
      </c>
      <c r="B74" s="102">
        <v>45369</v>
      </c>
      <c r="C74" s="111" t="s">
        <v>144</v>
      </c>
      <c r="D74" s="103">
        <v>45369.879675925928</v>
      </c>
      <c r="E74" s="103">
        <v>45369.898819444446</v>
      </c>
      <c r="F74" s="104">
        <f>StudyLog[[#This Row],[END]]-StudyLog[[#This Row],[START]]-(StudyLog[[#This Row],[PAUSED]]/(24*60))</f>
        <v>1.9143518518831115E-2</v>
      </c>
      <c r="G74" s="105">
        <v>0</v>
      </c>
      <c r="H74" s="113">
        <v>4</v>
      </c>
      <c r="I74" s="105">
        <v>35</v>
      </c>
      <c r="J74" s="107">
        <v>3</v>
      </c>
      <c r="K74" s="108">
        <v>1</v>
      </c>
      <c r="L74" s="110">
        <f>StudyLog[[#This Row],[DAY]]</f>
        <v>45369</v>
      </c>
    </row>
    <row r="75" spans="1:12" ht="24" x14ac:dyDescent="0.25">
      <c r="A75" s="101">
        <v>8</v>
      </c>
      <c r="B75" s="102">
        <v>45369</v>
      </c>
      <c r="C75" s="111" t="s">
        <v>143</v>
      </c>
      <c r="D75" s="103">
        <v>45369.847361111111</v>
      </c>
      <c r="E75" s="103">
        <v>45369.871666666666</v>
      </c>
      <c r="F75" s="104">
        <f>StudyLog[[#This Row],[END]]-StudyLog[[#This Row],[START]]-(StudyLog[[#This Row],[PAUSED]]/(24*60))</f>
        <v>2.4305555554747116E-2</v>
      </c>
      <c r="G75" s="105">
        <v>0</v>
      </c>
      <c r="H75" s="113">
        <v>4</v>
      </c>
      <c r="I75" s="105">
        <v>35</v>
      </c>
      <c r="J75" s="107">
        <v>3</v>
      </c>
      <c r="K75" s="108">
        <v>1</v>
      </c>
      <c r="L75" s="110">
        <f>StudyLog[[#This Row],[DAY]]</f>
        <v>45369</v>
      </c>
    </row>
    <row r="76" spans="1:12" ht="48" x14ac:dyDescent="0.25">
      <c r="A76" s="101">
        <v>8</v>
      </c>
      <c r="B76" s="102">
        <v>45369</v>
      </c>
      <c r="C76" s="114" t="s">
        <v>142</v>
      </c>
      <c r="D76" s="103">
        <v>45369.701805555553</v>
      </c>
      <c r="E76" s="103">
        <v>45369.75409722222</v>
      </c>
      <c r="F76" s="104">
        <f>StudyLog[[#This Row],[END]]-StudyLog[[#This Row],[START]]-(StudyLog[[#This Row],[PAUSED]]/(24*60))</f>
        <v>5.2291666666860692E-2</v>
      </c>
      <c r="G76" s="105">
        <v>0</v>
      </c>
      <c r="H76" s="112">
        <v>3</v>
      </c>
      <c r="I76" s="105">
        <v>35</v>
      </c>
      <c r="J76" s="107">
        <v>1</v>
      </c>
      <c r="K76" s="108">
        <v>1</v>
      </c>
      <c r="L76" s="110">
        <f>StudyLog[[#This Row],[DAY]]</f>
        <v>45369</v>
      </c>
    </row>
    <row r="77" spans="1:12" ht="24" x14ac:dyDescent="0.25">
      <c r="A77" s="101">
        <v>8</v>
      </c>
      <c r="B77" s="102">
        <v>45369</v>
      </c>
      <c r="C77" s="115" t="s">
        <v>141</v>
      </c>
      <c r="D77" s="103">
        <v>45369.458344907405</v>
      </c>
      <c r="E77" s="103">
        <v>45369.470046296294</v>
      </c>
      <c r="F77" s="104">
        <f>StudyLog[[#This Row],[END]]-StudyLog[[#This Row],[START]]-(StudyLog[[#This Row],[PAUSED]]/(24*60))</f>
        <v>1.17013888884685E-2</v>
      </c>
      <c r="G77" s="105">
        <v>0</v>
      </c>
      <c r="H77" s="113">
        <v>4</v>
      </c>
      <c r="I77" s="105">
        <v>20</v>
      </c>
      <c r="J77" s="107">
        <v>2</v>
      </c>
      <c r="K77" s="108">
        <v>1</v>
      </c>
      <c r="L77" s="110">
        <f>StudyLog[[#This Row],[DAY]]</f>
        <v>45369</v>
      </c>
    </row>
    <row r="78" spans="1:12" ht="48" x14ac:dyDescent="0.25">
      <c r="A78" s="101">
        <v>8</v>
      </c>
      <c r="B78" s="102">
        <v>45369</v>
      </c>
      <c r="C78" s="117" t="s">
        <v>140</v>
      </c>
      <c r="D78" s="103">
        <v>45369.427199074074</v>
      </c>
      <c r="E78" s="103">
        <v>45369.449525462966</v>
      </c>
      <c r="F78" s="104">
        <f>StudyLog[[#This Row],[END]]-StudyLog[[#This Row],[START]]-(StudyLog[[#This Row],[PAUSED]]/(24*60))</f>
        <v>2.2326388891087845E-2</v>
      </c>
      <c r="G78" s="105">
        <v>0</v>
      </c>
      <c r="H78" s="113">
        <v>4</v>
      </c>
      <c r="I78" s="105">
        <v>25</v>
      </c>
      <c r="J78" s="107">
        <v>4</v>
      </c>
      <c r="K78" s="108">
        <v>1</v>
      </c>
      <c r="L78" s="110">
        <f>StudyLog[[#This Row],[DAY]]</f>
        <v>45369</v>
      </c>
    </row>
    <row r="79" spans="1:12" ht="24" x14ac:dyDescent="0.25">
      <c r="A79" s="101">
        <v>8</v>
      </c>
      <c r="B79" s="102">
        <v>45369</v>
      </c>
      <c r="C79" s="114" t="s">
        <v>139</v>
      </c>
      <c r="D79" s="103">
        <v>45369.370358796295</v>
      </c>
      <c r="E79" s="103">
        <v>45369.413784722223</v>
      </c>
      <c r="F79" s="104">
        <f>StudyLog[[#This Row],[END]]-StudyLog[[#This Row],[START]]-(StudyLog[[#This Row],[PAUSED]]/(24*60))</f>
        <v>4.3425925927294884E-2</v>
      </c>
      <c r="G79" s="105">
        <v>0</v>
      </c>
      <c r="H79" s="116">
        <v>2.5</v>
      </c>
      <c r="I79" s="105">
        <v>35</v>
      </c>
      <c r="J79" s="107">
        <v>1</v>
      </c>
      <c r="K79" s="108">
        <v>1</v>
      </c>
      <c r="L79" s="110">
        <f>StudyLog[[#This Row],[DAY]]</f>
        <v>45369</v>
      </c>
    </row>
    <row r="80" spans="1:12" ht="48" x14ac:dyDescent="0.25">
      <c r="A80" s="101">
        <v>8</v>
      </c>
      <c r="B80" s="102">
        <v>45369</v>
      </c>
      <c r="C80" s="114" t="s">
        <v>138</v>
      </c>
      <c r="D80" s="103">
        <v>45369.344664351855</v>
      </c>
      <c r="E80" s="103">
        <v>45369.368969907409</v>
      </c>
      <c r="F80" s="104">
        <f>StudyLog[[#This Row],[END]]-StudyLog[[#This Row],[START]]-(StudyLog[[#This Row],[PAUSED]]/(24*60))</f>
        <v>2.4305555554747116E-2</v>
      </c>
      <c r="G80" s="105">
        <v>0</v>
      </c>
      <c r="H80" s="112">
        <v>3</v>
      </c>
      <c r="I80" s="105">
        <v>35</v>
      </c>
      <c r="J80" s="107">
        <v>1</v>
      </c>
      <c r="K80" s="108">
        <v>1</v>
      </c>
      <c r="L80" s="110">
        <f>StudyLog[[#This Row],[DAY]]</f>
        <v>45369</v>
      </c>
    </row>
    <row r="81" spans="1:12" ht="48" x14ac:dyDescent="0.25">
      <c r="A81" s="101">
        <v>8</v>
      </c>
      <c r="B81" s="102">
        <v>45369</v>
      </c>
      <c r="C81" s="111" t="s">
        <v>137</v>
      </c>
      <c r="D81" s="103">
        <v>45369.336956018517</v>
      </c>
      <c r="E81" s="103">
        <v>45369.368206018517</v>
      </c>
      <c r="F81" s="104">
        <f>StudyLog[[#This Row],[END]]-StudyLog[[#This Row],[START]]-(StudyLog[[#This Row],[PAUSED]]/(24*60))</f>
        <v>3.125E-2</v>
      </c>
      <c r="G81" s="105">
        <v>0</v>
      </c>
      <c r="H81" s="112">
        <v>3</v>
      </c>
      <c r="I81" s="105">
        <v>45</v>
      </c>
      <c r="J81" s="107">
        <v>3</v>
      </c>
      <c r="K81" s="108">
        <v>1</v>
      </c>
      <c r="L81" s="110">
        <f>StudyLog[[#This Row],[DAY]]</f>
        <v>45369</v>
      </c>
    </row>
    <row r="82" spans="1:12" ht="24" x14ac:dyDescent="0.25">
      <c r="A82" s="101">
        <v>8</v>
      </c>
      <c r="B82" s="102">
        <v>45368</v>
      </c>
      <c r="C82" s="115" t="s">
        <v>136</v>
      </c>
      <c r="D82" s="103">
        <v>45368.6716087963</v>
      </c>
      <c r="E82" s="103">
        <v>45368.682025462964</v>
      </c>
      <c r="F82" s="104">
        <f>StudyLog[[#This Row],[END]]-StudyLog[[#This Row],[START]]-(StudyLog[[#This Row],[PAUSED]]/(24*60))</f>
        <v>1.0416666664241347E-2</v>
      </c>
      <c r="G82" s="105">
        <v>0</v>
      </c>
      <c r="H82" s="113">
        <v>4</v>
      </c>
      <c r="I82" s="105">
        <v>15</v>
      </c>
      <c r="J82" s="107">
        <v>2</v>
      </c>
      <c r="K82" s="108">
        <v>1</v>
      </c>
      <c r="L82" s="110">
        <f>StudyLog[[#This Row],[DAY]]</f>
        <v>45368</v>
      </c>
    </row>
    <row r="83" spans="1:12" ht="24" x14ac:dyDescent="0.25">
      <c r="A83" s="101">
        <v>8</v>
      </c>
      <c r="B83" s="102">
        <v>45368</v>
      </c>
      <c r="C83" s="111" t="s">
        <v>135</v>
      </c>
      <c r="D83" s="103">
        <v>45368.646724537037</v>
      </c>
      <c r="E83" s="103">
        <v>45368.669027777774</v>
      </c>
      <c r="F83" s="104">
        <f>StudyLog[[#This Row],[END]]-StudyLog[[#This Row],[START]]-(StudyLog[[#This Row],[PAUSED]]/(24*60))</f>
        <v>2.230324073752854E-2</v>
      </c>
      <c r="G83" s="105">
        <v>0</v>
      </c>
      <c r="H83" s="113">
        <v>4</v>
      </c>
      <c r="I83" s="105">
        <v>30</v>
      </c>
      <c r="J83" s="107">
        <v>3</v>
      </c>
      <c r="K83" s="108">
        <v>1</v>
      </c>
      <c r="L83" s="110">
        <f>StudyLog[[#This Row],[DAY]]</f>
        <v>45368</v>
      </c>
    </row>
    <row r="84" spans="1:12" ht="24" x14ac:dyDescent="0.25">
      <c r="A84" s="101">
        <v>8</v>
      </c>
      <c r="B84" s="102">
        <v>45368</v>
      </c>
      <c r="C84" s="111" t="s">
        <v>134</v>
      </c>
      <c r="D84" s="103">
        <v>45368.618784722225</v>
      </c>
      <c r="E84" s="103">
        <v>45368.642511574071</v>
      </c>
      <c r="F84" s="104">
        <f>StudyLog[[#This Row],[END]]-StudyLog[[#This Row],[START]]-(StudyLog[[#This Row],[PAUSED]]/(24*60))</f>
        <v>2.3726851846731734E-2</v>
      </c>
      <c r="G84" s="105">
        <v>0</v>
      </c>
      <c r="H84" s="113">
        <v>4</v>
      </c>
      <c r="I84" s="105">
        <v>30</v>
      </c>
      <c r="J84" s="107">
        <v>3</v>
      </c>
      <c r="K84" s="108">
        <v>1</v>
      </c>
      <c r="L84" s="110">
        <f>StudyLog[[#This Row],[DAY]]</f>
        <v>45368</v>
      </c>
    </row>
    <row r="85" spans="1:12" ht="24" x14ac:dyDescent="0.25">
      <c r="A85" s="101">
        <v>8</v>
      </c>
      <c r="B85" s="102">
        <v>45368</v>
      </c>
      <c r="C85" s="111" t="s">
        <v>133</v>
      </c>
      <c r="D85" s="103">
        <v>45368.593136574076</v>
      </c>
      <c r="E85" s="103">
        <v>45368.613969907405</v>
      </c>
      <c r="F85" s="104">
        <f>StudyLog[[#This Row],[END]]-StudyLog[[#This Row],[START]]-(StudyLog[[#This Row],[PAUSED]]/(24*60))</f>
        <v>2.0833333328482695E-2</v>
      </c>
      <c r="G85" s="105">
        <v>0</v>
      </c>
      <c r="H85" s="112">
        <v>3.5</v>
      </c>
      <c r="I85" s="105">
        <v>30</v>
      </c>
      <c r="J85" s="107">
        <v>3</v>
      </c>
      <c r="K85" s="108">
        <v>1</v>
      </c>
      <c r="L85" s="110">
        <f>StudyLog[[#This Row],[DAY]]</f>
        <v>45368</v>
      </c>
    </row>
    <row r="86" spans="1:12" ht="48" x14ac:dyDescent="0.25">
      <c r="A86" s="101">
        <v>8</v>
      </c>
      <c r="B86" s="102">
        <v>45368</v>
      </c>
      <c r="C86" s="111" t="s">
        <v>131</v>
      </c>
      <c r="D86" s="103">
        <v>45368.556226851855</v>
      </c>
      <c r="E86" s="103">
        <v>45368.588206018518</v>
      </c>
      <c r="F86" s="104">
        <f>StudyLog[[#This Row],[END]]-StudyLog[[#This Row],[START]]-(StudyLog[[#This Row],[PAUSED]]/(24*60))</f>
        <v>3.1979166662495118E-2</v>
      </c>
      <c r="G86" s="105">
        <v>0</v>
      </c>
      <c r="H86" s="112">
        <v>3</v>
      </c>
      <c r="I86" s="105">
        <v>30</v>
      </c>
      <c r="J86" s="107">
        <v>3</v>
      </c>
      <c r="K86" s="108">
        <v>1</v>
      </c>
      <c r="L86" s="110">
        <f>StudyLog[[#This Row],[DAY]]</f>
        <v>45368</v>
      </c>
    </row>
    <row r="87" spans="1:12" ht="24" x14ac:dyDescent="0.25">
      <c r="A87" s="101">
        <v>8</v>
      </c>
      <c r="B87" s="102">
        <v>45368</v>
      </c>
      <c r="C87" s="121" t="s">
        <v>132</v>
      </c>
      <c r="D87" s="103">
        <v>45368.503854166665</v>
      </c>
      <c r="E87" s="103">
        <v>45368.551226851851</v>
      </c>
      <c r="F87" s="104">
        <f>StudyLog[[#This Row],[END]]-StudyLog[[#This Row],[START]]-(StudyLog[[#This Row],[PAUSED]]/(24*60))</f>
        <v>3.0011574073998619E-2</v>
      </c>
      <c r="G87" s="105">
        <v>25</v>
      </c>
      <c r="H87" s="123">
        <v>1</v>
      </c>
      <c r="I87" s="105" t="s">
        <v>130</v>
      </c>
      <c r="J87" s="107">
        <v>5</v>
      </c>
      <c r="K87" s="108">
        <v>1</v>
      </c>
      <c r="L87" s="110">
        <f>StudyLog[[#This Row],[DAY]]</f>
        <v>45368</v>
      </c>
    </row>
    <row r="88" spans="1:12" ht="72" x14ac:dyDescent="0.25">
      <c r="A88" s="101">
        <v>7</v>
      </c>
      <c r="B88" s="102">
        <v>45366</v>
      </c>
      <c r="C88" s="111" t="s">
        <v>128</v>
      </c>
      <c r="D88" s="103">
        <v>45366.590694444443</v>
      </c>
      <c r="E88" s="103">
        <v>45366.599317129629</v>
      </c>
      <c r="F88" s="104">
        <f>StudyLog[[#This Row],[END]]-StudyLog[[#This Row],[START]]-(StudyLog[[#This Row],[PAUSED]]/(24*60))</f>
        <v>8.6226851854007691E-3</v>
      </c>
      <c r="G88" s="105">
        <v>0</v>
      </c>
      <c r="H88" s="113">
        <v>4</v>
      </c>
      <c r="I88" s="105">
        <v>20</v>
      </c>
      <c r="J88" s="107">
        <v>3</v>
      </c>
      <c r="K88" s="108">
        <v>1</v>
      </c>
      <c r="L88" s="110">
        <f>StudyLog[[#This Row],[DAY]]</f>
        <v>45366</v>
      </c>
    </row>
    <row r="89" spans="1:12" ht="24" x14ac:dyDescent="0.25">
      <c r="A89" s="101">
        <v>7</v>
      </c>
      <c r="B89" s="102">
        <v>45366</v>
      </c>
      <c r="C89" s="118" t="s">
        <v>129</v>
      </c>
      <c r="D89" s="103">
        <v>45366.569374999999</v>
      </c>
      <c r="E89" s="103">
        <v>45366.58326388889</v>
      </c>
      <c r="F89" s="104">
        <f>StudyLog[[#This Row],[END]]-StudyLog[[#This Row],[START]]-(StudyLog[[#This Row],[PAUSED]]/(24*60))</f>
        <v>1.3888888890505768E-2</v>
      </c>
      <c r="G89" s="105">
        <v>0</v>
      </c>
      <c r="H89" s="113">
        <v>4</v>
      </c>
      <c r="I89" s="105">
        <v>20</v>
      </c>
      <c r="J89" s="107">
        <v>6</v>
      </c>
      <c r="K89" s="108">
        <v>1</v>
      </c>
      <c r="L89" s="110">
        <f>StudyLog[[#This Row],[DAY]]</f>
        <v>45366</v>
      </c>
    </row>
    <row r="90" spans="1:12" ht="48" x14ac:dyDescent="0.25">
      <c r="A90" s="101">
        <v>7</v>
      </c>
      <c r="B90" s="102">
        <v>45366</v>
      </c>
      <c r="C90" s="117" t="s">
        <v>124</v>
      </c>
      <c r="D90" s="103">
        <v>45366.549189814818</v>
      </c>
      <c r="E90" s="103">
        <v>45366.563078703701</v>
      </c>
      <c r="F90" s="104">
        <f>StudyLog[[#This Row],[END]]-StudyLog[[#This Row],[START]]-(StudyLog[[#This Row],[PAUSED]]/(24*60))</f>
        <v>1.3888888883229811E-2</v>
      </c>
      <c r="G90" s="105">
        <v>0</v>
      </c>
      <c r="H90" s="113">
        <v>4</v>
      </c>
      <c r="I90" s="105">
        <v>20</v>
      </c>
      <c r="J90" s="107">
        <v>4</v>
      </c>
      <c r="K90" s="108">
        <v>1</v>
      </c>
      <c r="L90" s="110">
        <f>StudyLog[[#This Row],[DAY]]</f>
        <v>45366</v>
      </c>
    </row>
    <row r="91" spans="1:12" ht="48" x14ac:dyDescent="0.25">
      <c r="A91" s="101">
        <v>7</v>
      </c>
      <c r="B91" s="102">
        <v>45366</v>
      </c>
      <c r="C91" s="115" t="s">
        <v>123</v>
      </c>
      <c r="D91" s="103">
        <v>45366.518437500003</v>
      </c>
      <c r="E91" s="103">
        <v>45366.539270833331</v>
      </c>
      <c r="F91" s="104">
        <f>StudyLog[[#This Row],[END]]-StudyLog[[#This Row],[START]]-(StudyLog[[#This Row],[PAUSED]]/(24*60))</f>
        <v>2.0833333328482695E-2</v>
      </c>
      <c r="G91" s="105">
        <v>0</v>
      </c>
      <c r="H91" s="113">
        <v>4</v>
      </c>
      <c r="I91" s="105">
        <v>30</v>
      </c>
      <c r="J91" s="107">
        <v>2</v>
      </c>
      <c r="K91" s="108">
        <v>1</v>
      </c>
      <c r="L91" s="110">
        <f>StudyLog[[#This Row],[DAY]]</f>
        <v>45366</v>
      </c>
    </row>
    <row r="92" spans="1:12" ht="24" x14ac:dyDescent="0.25">
      <c r="A92" s="101">
        <v>7</v>
      </c>
      <c r="B92" s="102">
        <v>45366</v>
      </c>
      <c r="C92" s="115" t="s">
        <v>122</v>
      </c>
      <c r="D92" s="103">
        <v>45366.468576388892</v>
      </c>
      <c r="E92" s="103">
        <v>45366.482465277775</v>
      </c>
      <c r="F92" s="104">
        <f>StudyLog[[#This Row],[END]]-StudyLog[[#This Row],[START]]-(StudyLog[[#This Row],[PAUSED]]/(24*60))</f>
        <v>1.3888888883229811E-2</v>
      </c>
      <c r="G92" s="105">
        <v>0</v>
      </c>
      <c r="H92" s="113">
        <v>4</v>
      </c>
      <c r="I92" s="105">
        <v>20</v>
      </c>
      <c r="J92" s="107">
        <v>2</v>
      </c>
      <c r="K92" s="108">
        <v>1</v>
      </c>
      <c r="L92" s="110">
        <f>StudyLog[[#This Row],[DAY]]</f>
        <v>45366</v>
      </c>
    </row>
    <row r="93" spans="1:12" ht="24" x14ac:dyDescent="0.25">
      <c r="A93" s="101">
        <v>7</v>
      </c>
      <c r="B93" s="102">
        <v>45366</v>
      </c>
      <c r="C93" s="115" t="s">
        <v>121</v>
      </c>
      <c r="D93" s="103">
        <v>45366.432291666664</v>
      </c>
      <c r="E93" s="103">
        <v>45366.451736111114</v>
      </c>
      <c r="F93" s="104">
        <f>StudyLog[[#This Row],[END]]-StudyLog[[#This Row],[START]]-(StudyLog[[#This Row],[PAUSED]]/(24*60))</f>
        <v>1.9444444449618459E-2</v>
      </c>
      <c r="G93" s="105">
        <v>0</v>
      </c>
      <c r="H93" s="122">
        <v>4</v>
      </c>
      <c r="I93" s="105">
        <v>30</v>
      </c>
      <c r="J93" s="107">
        <v>2</v>
      </c>
      <c r="K93" s="108">
        <v>1</v>
      </c>
      <c r="L93" s="110">
        <f>StudyLog[[#This Row],[DAY]]</f>
        <v>45366</v>
      </c>
    </row>
    <row r="94" spans="1:12" ht="24" x14ac:dyDescent="0.25">
      <c r="A94" s="101">
        <v>7</v>
      </c>
      <c r="B94" s="102">
        <v>45366</v>
      </c>
      <c r="C94" s="118" t="s">
        <v>120</v>
      </c>
      <c r="D94" s="103">
        <v>45366.40284722222</v>
      </c>
      <c r="E94" s="103">
        <v>45366.423680555556</v>
      </c>
      <c r="F94" s="104">
        <f>StudyLog[[#This Row],[END]]-StudyLog[[#This Row],[START]]-(StudyLog[[#This Row],[PAUSED]]/(24*60))</f>
        <v>2.0833333335758653E-2</v>
      </c>
      <c r="G94" s="105">
        <v>0</v>
      </c>
      <c r="H94" s="122">
        <v>4</v>
      </c>
      <c r="I94" s="105">
        <v>30</v>
      </c>
      <c r="J94" s="107">
        <v>6</v>
      </c>
      <c r="K94" s="108">
        <v>1</v>
      </c>
      <c r="L94" s="110">
        <f>StudyLog[[#This Row],[DAY]]</f>
        <v>45366</v>
      </c>
    </row>
    <row r="95" spans="1:12" ht="48" x14ac:dyDescent="0.25">
      <c r="A95" s="101">
        <v>7</v>
      </c>
      <c r="B95" s="102">
        <v>45366</v>
      </c>
      <c r="C95" s="114" t="s">
        <v>119</v>
      </c>
      <c r="D95" s="103">
        <v>45366.381111111114</v>
      </c>
      <c r="E95" s="103">
        <v>45366.398472222223</v>
      </c>
      <c r="F95" s="104">
        <f>StudyLog[[#This Row],[END]]-StudyLog[[#This Row],[START]]-(StudyLog[[#This Row],[PAUSED]]/(24*60))</f>
        <v>1.7361111109494232E-2</v>
      </c>
      <c r="G95" s="105">
        <v>0</v>
      </c>
      <c r="H95" s="112">
        <v>3</v>
      </c>
      <c r="I95" s="105">
        <v>25</v>
      </c>
      <c r="J95" s="107">
        <v>1</v>
      </c>
      <c r="K95" s="108">
        <v>1</v>
      </c>
      <c r="L95" s="110">
        <f>StudyLog[[#This Row],[DAY]]</f>
        <v>45366</v>
      </c>
    </row>
    <row r="96" spans="1:12" ht="48" x14ac:dyDescent="0.25">
      <c r="A96" s="101">
        <v>7</v>
      </c>
      <c r="B96" s="102">
        <v>45366</v>
      </c>
      <c r="C96" s="114" t="s">
        <v>118</v>
      </c>
      <c r="D96" s="103">
        <v>45366.361666666664</v>
      </c>
      <c r="E96" s="103">
        <v>45366.375555555554</v>
      </c>
      <c r="F96" s="104">
        <f>StudyLog[[#This Row],[END]]-StudyLog[[#This Row],[START]]-(StudyLog[[#This Row],[PAUSED]]/(24*60))</f>
        <v>1.3888888890505768E-2</v>
      </c>
      <c r="G96" s="105">
        <v>0</v>
      </c>
      <c r="H96" s="113">
        <v>4</v>
      </c>
      <c r="I96" s="105">
        <v>20</v>
      </c>
      <c r="J96" s="107">
        <v>1</v>
      </c>
      <c r="K96" s="108">
        <v>1</v>
      </c>
      <c r="L96" s="110">
        <f>StudyLog[[#This Row],[DAY]]</f>
        <v>45366</v>
      </c>
    </row>
    <row r="97" spans="1:12" ht="96" x14ac:dyDescent="0.25">
      <c r="A97" s="101">
        <v>7</v>
      </c>
      <c r="B97" s="102">
        <v>45365</v>
      </c>
      <c r="C97" s="114" t="s">
        <v>117</v>
      </c>
      <c r="D97" s="103">
        <v>45365.848321759258</v>
      </c>
      <c r="E97" s="103">
        <v>45365.876655092594</v>
      </c>
      <c r="F97" s="104">
        <f>StudyLog[[#This Row],[END]]-StudyLog[[#This Row],[START]]-(StudyLog[[#This Row],[PAUSED]]/(24*60))</f>
        <v>2.8333333335467614E-2</v>
      </c>
      <c r="G97" s="105">
        <v>0</v>
      </c>
      <c r="H97" s="112">
        <v>3</v>
      </c>
      <c r="I97" s="105">
        <v>30</v>
      </c>
      <c r="J97" s="107">
        <v>1</v>
      </c>
      <c r="K97" s="108">
        <v>1</v>
      </c>
      <c r="L97" s="110">
        <f>StudyLog[[#This Row],[DAY]]</f>
        <v>45365</v>
      </c>
    </row>
    <row r="98" spans="1:12" ht="48" x14ac:dyDescent="0.25">
      <c r="A98" s="101">
        <v>7</v>
      </c>
      <c r="B98" s="102">
        <v>45365</v>
      </c>
      <c r="C98" s="114" t="s">
        <v>116</v>
      </c>
      <c r="D98" s="103">
        <v>45365.55023148148</v>
      </c>
      <c r="E98" s="103">
        <v>45365.571064814816</v>
      </c>
      <c r="F98" s="104">
        <f>StudyLog[[#This Row],[END]]-StudyLog[[#This Row],[START]]-(StudyLog[[#This Row],[PAUSED]]/(24*60))</f>
        <v>2.0833333335758653E-2</v>
      </c>
      <c r="G98" s="105">
        <v>0</v>
      </c>
      <c r="H98" s="116">
        <v>2.5</v>
      </c>
      <c r="I98" s="105">
        <v>30</v>
      </c>
      <c r="J98" s="107">
        <v>1</v>
      </c>
      <c r="K98" s="108">
        <v>1</v>
      </c>
      <c r="L98" s="110">
        <f>StudyLog[[#This Row],[DAY]]</f>
        <v>45365</v>
      </c>
    </row>
    <row r="99" spans="1:12" ht="24" x14ac:dyDescent="0.25">
      <c r="A99" s="101">
        <v>7</v>
      </c>
      <c r="B99" s="102">
        <v>45365</v>
      </c>
      <c r="C99" s="115" t="s">
        <v>115</v>
      </c>
      <c r="D99" s="103">
        <v>45365.473969907405</v>
      </c>
      <c r="E99" s="103">
        <v>45365.491331018522</v>
      </c>
      <c r="F99" s="104">
        <f>StudyLog[[#This Row],[END]]-StudyLog[[#This Row],[START]]-(StudyLog[[#This Row],[PAUSED]]/(24*60))</f>
        <v>1.7361111116770189E-2</v>
      </c>
      <c r="G99" s="105">
        <v>0</v>
      </c>
      <c r="H99" s="113">
        <v>4</v>
      </c>
      <c r="I99" s="105">
        <v>25</v>
      </c>
      <c r="J99" s="107">
        <v>2</v>
      </c>
      <c r="K99" s="108">
        <v>1</v>
      </c>
      <c r="L99" s="109">
        <f>StudyLog[[#This Row],[END]]-F100</f>
        <v>45365.477442129632</v>
      </c>
    </row>
    <row r="100" spans="1:12" ht="72" x14ac:dyDescent="0.25">
      <c r="A100" s="101">
        <v>7</v>
      </c>
      <c r="B100" s="102">
        <v>45365</v>
      </c>
      <c r="C100" s="111" t="s">
        <v>114</v>
      </c>
      <c r="D100" s="103">
        <v>45365.454201388886</v>
      </c>
      <c r="E100" s="103">
        <v>45365.468090277776</v>
      </c>
      <c r="F100" s="104">
        <f>StudyLog[[#This Row],[END]]-StudyLog[[#This Row],[START]]-(StudyLog[[#This Row],[PAUSED]]/(24*60))</f>
        <v>1.3888888890505768E-2</v>
      </c>
      <c r="G100" s="105">
        <v>0</v>
      </c>
      <c r="H100" s="113">
        <v>4</v>
      </c>
      <c r="I100" s="105">
        <v>20</v>
      </c>
      <c r="J100" s="107">
        <v>3</v>
      </c>
      <c r="K100" s="108">
        <v>1</v>
      </c>
      <c r="L100" s="110">
        <f>StudyLog[[#This Row],[DAY]]</f>
        <v>45365</v>
      </c>
    </row>
    <row r="101" spans="1:12" ht="24" x14ac:dyDescent="0.25">
      <c r="A101" s="101">
        <v>7</v>
      </c>
      <c r="B101" s="102">
        <v>45365</v>
      </c>
      <c r="C101" s="111" t="s">
        <v>113</v>
      </c>
      <c r="D101" s="103">
        <v>45365.422766203701</v>
      </c>
      <c r="E101" s="103">
        <v>45365.448333333334</v>
      </c>
      <c r="F101" s="104">
        <f>StudyLog[[#This Row],[END]]-StudyLog[[#This Row],[START]]-(StudyLog[[#This Row],[PAUSED]]/(24*60))</f>
        <v>2.5567129632690921E-2</v>
      </c>
      <c r="G101" s="105">
        <v>0</v>
      </c>
      <c r="H101" s="113">
        <v>4</v>
      </c>
      <c r="I101" s="105">
        <v>30</v>
      </c>
      <c r="J101" s="107">
        <v>3</v>
      </c>
      <c r="K101" s="108">
        <v>1</v>
      </c>
      <c r="L101" s="110">
        <f>StudyLog[[#This Row],[DAY]]</f>
        <v>45365</v>
      </c>
    </row>
    <row r="102" spans="1:12" ht="48" x14ac:dyDescent="0.25">
      <c r="A102" s="101">
        <v>7</v>
      </c>
      <c r="B102" s="102">
        <v>45365</v>
      </c>
      <c r="C102" s="114" t="s">
        <v>112</v>
      </c>
      <c r="D102" s="103">
        <v>45365.389548611114</v>
      </c>
      <c r="E102" s="103">
        <v>45365.413854166669</v>
      </c>
      <c r="F102" s="104">
        <f>StudyLog[[#This Row],[END]]-StudyLog[[#This Row],[START]]-(StudyLog[[#This Row],[PAUSED]]/(24*60))</f>
        <v>2.4305555554747116E-2</v>
      </c>
      <c r="G102" s="105">
        <v>0</v>
      </c>
      <c r="H102" s="112">
        <v>3</v>
      </c>
      <c r="I102" s="105">
        <v>30</v>
      </c>
      <c r="J102" s="107">
        <v>1</v>
      </c>
      <c r="K102" s="108">
        <v>1</v>
      </c>
      <c r="L102" s="110">
        <f>StudyLog[[#This Row],[DAY]]</f>
        <v>45365</v>
      </c>
    </row>
    <row r="103" spans="1:12" ht="48" x14ac:dyDescent="0.25">
      <c r="A103" s="101">
        <v>7</v>
      </c>
      <c r="B103" s="102">
        <v>45365</v>
      </c>
      <c r="C103" s="114" t="s">
        <v>111</v>
      </c>
      <c r="D103" s="103">
        <v>45365.359363425923</v>
      </c>
      <c r="E103" s="103">
        <v>45365.380196759259</v>
      </c>
      <c r="F103" s="104">
        <f>StudyLog[[#This Row],[END]]-StudyLog[[#This Row],[START]]-(StudyLog[[#This Row],[PAUSED]]/(24*60))</f>
        <v>2.0833333335758653E-2</v>
      </c>
      <c r="G103" s="105">
        <v>0</v>
      </c>
      <c r="H103" s="113">
        <v>4</v>
      </c>
      <c r="I103" s="105">
        <v>30</v>
      </c>
      <c r="J103" s="107">
        <v>1</v>
      </c>
      <c r="K103" s="108">
        <v>1</v>
      </c>
      <c r="L103" s="110">
        <f>StudyLog[[#This Row],[DAY]]</f>
        <v>45365</v>
      </c>
    </row>
    <row r="104" spans="1:12" ht="72" x14ac:dyDescent="0.25">
      <c r="A104" s="101">
        <v>7</v>
      </c>
      <c r="B104" s="102">
        <v>45364</v>
      </c>
      <c r="C104" s="114" t="s">
        <v>110</v>
      </c>
      <c r="D104" s="103">
        <v>45364.789583333331</v>
      </c>
      <c r="E104" s="103">
        <v>45364.806944444441</v>
      </c>
      <c r="F104" s="104">
        <f>StudyLog[[#This Row],[END]]-StudyLog[[#This Row],[START]]-(StudyLog[[#This Row],[PAUSED]]/(24*60))</f>
        <v>1.7361111109494232E-2</v>
      </c>
      <c r="G104" s="105">
        <v>0</v>
      </c>
      <c r="H104" s="112">
        <v>3</v>
      </c>
      <c r="I104" s="105">
        <v>25</v>
      </c>
      <c r="J104" s="107">
        <v>1</v>
      </c>
      <c r="K104" s="108">
        <v>1</v>
      </c>
      <c r="L104" s="110">
        <f>StudyLog[[#This Row],[DAY]]</f>
        <v>45364</v>
      </c>
    </row>
    <row r="105" spans="1:12" ht="48" x14ac:dyDescent="0.25">
      <c r="A105" s="101">
        <v>7</v>
      </c>
      <c r="B105" s="102">
        <v>45364</v>
      </c>
      <c r="C105" s="114" t="s">
        <v>109</v>
      </c>
      <c r="D105" s="103">
        <v>45364.761747685188</v>
      </c>
      <c r="E105" s="103">
        <v>45364.779108796298</v>
      </c>
      <c r="F105" s="104">
        <f>StudyLog[[#This Row],[END]]-StudyLog[[#This Row],[START]]-(StudyLog[[#This Row],[PAUSED]]/(24*60))</f>
        <v>1.7361111109494232E-2</v>
      </c>
      <c r="G105" s="105">
        <v>0</v>
      </c>
      <c r="H105" s="112">
        <v>3</v>
      </c>
      <c r="I105" s="105">
        <v>25</v>
      </c>
      <c r="J105" s="107">
        <v>1</v>
      </c>
      <c r="K105" s="108">
        <v>1</v>
      </c>
      <c r="L105" s="110">
        <f>StudyLog[[#This Row],[DAY]]</f>
        <v>45364</v>
      </c>
    </row>
    <row r="106" spans="1:12" ht="24" x14ac:dyDescent="0.25">
      <c r="A106" s="101">
        <v>7</v>
      </c>
      <c r="B106" s="102">
        <v>45364</v>
      </c>
      <c r="C106" s="114" t="s">
        <v>108</v>
      </c>
      <c r="D106" s="103">
        <v>45364.736250000002</v>
      </c>
      <c r="E106" s="103">
        <v>45364.750138888892</v>
      </c>
      <c r="F106" s="104">
        <f>StudyLog[[#This Row],[END]]-StudyLog[[#This Row],[START]]-(StudyLog[[#This Row],[PAUSED]]/(24*60))</f>
        <v>1.3888888890505768E-2</v>
      </c>
      <c r="G106" s="105">
        <v>0</v>
      </c>
      <c r="H106" s="113">
        <v>4</v>
      </c>
      <c r="I106" s="105">
        <v>20</v>
      </c>
      <c r="J106" s="107">
        <v>1</v>
      </c>
      <c r="K106" s="108">
        <v>1</v>
      </c>
      <c r="L106" s="110">
        <f>StudyLog[[#This Row],[DAY]]</f>
        <v>45364</v>
      </c>
    </row>
    <row r="107" spans="1:12" ht="24" x14ac:dyDescent="0.25">
      <c r="A107" s="101">
        <v>6</v>
      </c>
      <c r="B107" s="102">
        <v>45363</v>
      </c>
      <c r="C107" s="115" t="s">
        <v>106</v>
      </c>
      <c r="D107" s="103">
        <v>45363.593194444446</v>
      </c>
      <c r="E107" s="103">
        <v>45363.601527777777</v>
      </c>
      <c r="F107" s="104">
        <f>StudyLog[[#This Row],[END]]-StudyLog[[#This Row],[START]]-(StudyLog[[#This Row],[PAUSED]]/(24*60))</f>
        <v>8.333333331393078E-3</v>
      </c>
      <c r="G107" s="105">
        <v>0</v>
      </c>
      <c r="H107" s="113">
        <v>4</v>
      </c>
      <c r="I107" s="105">
        <v>20</v>
      </c>
      <c r="J107" s="107">
        <v>2</v>
      </c>
      <c r="K107" s="108">
        <v>1</v>
      </c>
      <c r="L107" s="110">
        <f>StudyLog[[#This Row],[DAY]]</f>
        <v>45363</v>
      </c>
    </row>
    <row r="108" spans="1:12" ht="72" x14ac:dyDescent="0.25">
      <c r="A108" s="101">
        <v>6</v>
      </c>
      <c r="B108" s="102">
        <v>45363</v>
      </c>
      <c r="C108" s="115" t="s">
        <v>105</v>
      </c>
      <c r="D108" s="103">
        <v>45363.56994212963</v>
      </c>
      <c r="E108" s="103">
        <v>45363.591828703706</v>
      </c>
      <c r="F108" s="104">
        <f>StudyLog[[#This Row],[END]]-StudyLog[[#This Row],[START]]-(StudyLog[[#This Row],[PAUSED]]/(24*60))</f>
        <v>2.1886574075324461E-2</v>
      </c>
      <c r="G108" s="105">
        <v>0</v>
      </c>
      <c r="H108" s="113">
        <v>4</v>
      </c>
      <c r="I108" s="105">
        <v>30</v>
      </c>
      <c r="J108" s="107">
        <v>2</v>
      </c>
      <c r="K108" s="108">
        <v>1</v>
      </c>
      <c r="L108" s="110">
        <f>StudyLog[[#This Row],[DAY]]</f>
        <v>45363</v>
      </c>
    </row>
    <row r="109" spans="1:12" ht="48" x14ac:dyDescent="0.25">
      <c r="A109" s="101">
        <v>6</v>
      </c>
      <c r="B109" s="102">
        <v>45363</v>
      </c>
      <c r="C109" s="118" t="s">
        <v>104</v>
      </c>
      <c r="D109" s="103">
        <v>45363.540694444448</v>
      </c>
      <c r="E109" s="103">
        <v>45363.561527777776</v>
      </c>
      <c r="F109" s="104">
        <f>StudyLog[[#This Row],[END]]-StudyLog[[#This Row],[START]]-(StudyLog[[#This Row],[PAUSED]]/(24*60))</f>
        <v>1.9444444439593807E-2</v>
      </c>
      <c r="G109" s="105">
        <v>2</v>
      </c>
      <c r="H109" s="113">
        <v>4</v>
      </c>
      <c r="I109" s="105">
        <v>30</v>
      </c>
      <c r="J109" s="107">
        <v>6</v>
      </c>
      <c r="K109" s="108">
        <v>1</v>
      </c>
      <c r="L109" s="110">
        <f>StudyLog[[#This Row],[DAY]]</f>
        <v>45363</v>
      </c>
    </row>
    <row r="110" spans="1:12" ht="24" x14ac:dyDescent="0.25">
      <c r="A110" s="101">
        <v>6</v>
      </c>
      <c r="B110" s="102">
        <v>45363</v>
      </c>
      <c r="C110" s="111" t="s">
        <v>103</v>
      </c>
      <c r="D110" s="103">
        <v>45363.518657407411</v>
      </c>
      <c r="E110" s="103">
        <v>45363.536168981482</v>
      </c>
      <c r="F110" s="104">
        <f>StudyLog[[#This Row],[END]]-StudyLog[[#This Row],[START]]-(StudyLog[[#This Row],[PAUSED]]/(24*60))</f>
        <v>1.7511574071249925E-2</v>
      </c>
      <c r="G110" s="105">
        <v>0</v>
      </c>
      <c r="H110" s="113">
        <v>4.5</v>
      </c>
      <c r="I110" s="105">
        <v>20</v>
      </c>
      <c r="J110" s="107">
        <v>3</v>
      </c>
      <c r="K110" s="108">
        <v>1</v>
      </c>
      <c r="L110" s="110">
        <f>StudyLog[[#This Row],[DAY]]</f>
        <v>45363</v>
      </c>
    </row>
    <row r="111" spans="1:12" ht="24" x14ac:dyDescent="0.25">
      <c r="A111" s="101">
        <v>6</v>
      </c>
      <c r="B111" s="102">
        <v>45362</v>
      </c>
      <c r="C111" s="117" t="s">
        <v>102</v>
      </c>
      <c r="D111" s="103">
        <v>45362.777118055557</v>
      </c>
      <c r="E111" s="103">
        <v>45362.793541666666</v>
      </c>
      <c r="F111" s="104">
        <f>StudyLog[[#This Row],[END]]-StudyLog[[#This Row],[START]]-(StudyLog[[#This Row],[PAUSED]]/(24*60))</f>
        <v>1.6423611108621117E-2</v>
      </c>
      <c r="G111" s="105">
        <v>0</v>
      </c>
      <c r="H111" s="112">
        <v>3.5</v>
      </c>
      <c r="I111" s="105">
        <v>25</v>
      </c>
      <c r="J111" s="107">
        <v>4</v>
      </c>
      <c r="K111" s="108">
        <v>1</v>
      </c>
      <c r="L111" s="110">
        <f>StudyLog[[#This Row],[DAY]]</f>
        <v>45362</v>
      </c>
    </row>
    <row r="112" spans="1:12" ht="48" x14ac:dyDescent="0.25">
      <c r="A112" s="101">
        <v>6</v>
      </c>
      <c r="B112" s="102">
        <v>45362</v>
      </c>
      <c r="C112" s="118" t="s">
        <v>101</v>
      </c>
      <c r="D112" s="103">
        <v>45362.7497337963</v>
      </c>
      <c r="E112" s="103">
        <v>45362.770567129628</v>
      </c>
      <c r="F112" s="104">
        <f>StudyLog[[#This Row],[END]]-StudyLog[[#This Row],[START]]-(StudyLog[[#This Row],[PAUSED]]/(24*60))</f>
        <v>2.0833333328482695E-2</v>
      </c>
      <c r="G112" s="105">
        <v>0</v>
      </c>
      <c r="H112" s="123">
        <v>1</v>
      </c>
      <c r="I112" s="105">
        <v>30</v>
      </c>
      <c r="J112" s="107">
        <v>6</v>
      </c>
      <c r="K112" s="108">
        <v>1</v>
      </c>
      <c r="L112" s="110">
        <f>StudyLog[[#This Row],[DAY]]</f>
        <v>45362</v>
      </c>
    </row>
    <row r="113" spans="1:12" ht="24" x14ac:dyDescent="0.25">
      <c r="A113" s="101">
        <v>6</v>
      </c>
      <c r="B113" s="102">
        <v>45362</v>
      </c>
      <c r="C113" s="115" t="s">
        <v>100</v>
      </c>
      <c r="D113" s="103">
        <v>45362.699837962966</v>
      </c>
      <c r="E113" s="103">
        <v>45362.724143518521</v>
      </c>
      <c r="F113" s="104">
        <f>StudyLog[[#This Row],[END]]-StudyLog[[#This Row],[START]]-(StudyLog[[#This Row],[PAUSED]]/(24*60))</f>
        <v>2.4305555554747116E-2</v>
      </c>
      <c r="G113" s="105">
        <v>0</v>
      </c>
      <c r="H113" s="113">
        <v>4</v>
      </c>
      <c r="I113" s="105">
        <v>35</v>
      </c>
      <c r="J113" s="107">
        <v>2</v>
      </c>
      <c r="K113" s="108">
        <v>1</v>
      </c>
      <c r="L113" s="110">
        <f>StudyLog[[#This Row],[DAY]]</f>
        <v>45362</v>
      </c>
    </row>
    <row r="114" spans="1:12" ht="24" x14ac:dyDescent="0.25">
      <c r="A114" s="101">
        <v>6</v>
      </c>
      <c r="B114" s="102">
        <v>45362</v>
      </c>
      <c r="C114" s="115" t="s">
        <v>99</v>
      </c>
      <c r="D114" s="103">
        <v>45362.428472222222</v>
      </c>
      <c r="E114" s="103">
        <v>45362.456678240742</v>
      </c>
      <c r="F114" s="104">
        <f>StudyLog[[#This Row],[END]]-StudyLog[[#This Row],[START]]-(StudyLog[[#This Row],[PAUSED]]/(24*60))</f>
        <v>2.8206018519995268E-2</v>
      </c>
      <c r="G114" s="105">
        <v>0</v>
      </c>
      <c r="H114" s="113">
        <v>4</v>
      </c>
      <c r="I114" s="105">
        <v>35</v>
      </c>
      <c r="J114" s="107">
        <v>2</v>
      </c>
      <c r="K114" s="108">
        <v>1</v>
      </c>
      <c r="L114" s="110">
        <f>StudyLog[[#This Row],[DAY]]</f>
        <v>45362</v>
      </c>
    </row>
    <row r="115" spans="1:12" ht="24" x14ac:dyDescent="0.25">
      <c r="A115" s="101">
        <v>6</v>
      </c>
      <c r="B115" s="102">
        <v>45362</v>
      </c>
      <c r="C115" s="114" t="s">
        <v>98</v>
      </c>
      <c r="D115" s="103">
        <v>45362.392071759263</v>
      </c>
      <c r="E115" s="103">
        <v>45362.417083333334</v>
      </c>
      <c r="F115" s="104">
        <f>StudyLog[[#This Row],[END]]-StudyLog[[#This Row],[START]]-(StudyLog[[#This Row],[PAUSED]]/(24*60))</f>
        <v>2.1539351848736663E-2</v>
      </c>
      <c r="G115" s="105">
        <v>5</v>
      </c>
      <c r="H115" s="112">
        <v>3</v>
      </c>
      <c r="I115" s="105">
        <v>30</v>
      </c>
      <c r="J115" s="107">
        <v>1</v>
      </c>
      <c r="K115" s="108">
        <v>1</v>
      </c>
      <c r="L115" s="110">
        <f>StudyLog[[#This Row],[DAY]]</f>
        <v>45362</v>
      </c>
    </row>
    <row r="116" spans="1:12" ht="24" x14ac:dyDescent="0.25">
      <c r="A116" s="101">
        <v>6</v>
      </c>
      <c r="B116" s="102">
        <v>45361</v>
      </c>
      <c r="C116" s="115" t="s">
        <v>97</v>
      </c>
      <c r="D116" s="103">
        <v>45361.842673611114</v>
      </c>
      <c r="E116" s="103">
        <v>45361.863506944443</v>
      </c>
      <c r="F116" s="104">
        <f>StudyLog[[#This Row],[END]]-StudyLog[[#This Row],[START]]-(StudyLog[[#This Row],[PAUSED]]/(24*60))</f>
        <v>2.0833333328482695E-2</v>
      </c>
      <c r="G116" s="105">
        <v>0</v>
      </c>
      <c r="H116" s="112">
        <v>3.5</v>
      </c>
      <c r="I116" s="105">
        <v>30</v>
      </c>
      <c r="J116" s="107">
        <v>2</v>
      </c>
      <c r="K116" s="108">
        <v>1</v>
      </c>
      <c r="L116" s="110">
        <f>StudyLog[[#This Row],[DAY]]</f>
        <v>45361</v>
      </c>
    </row>
    <row r="117" spans="1:12" ht="48" x14ac:dyDescent="0.25">
      <c r="A117" s="101">
        <v>6</v>
      </c>
      <c r="B117" s="102">
        <v>45361</v>
      </c>
      <c r="C117" s="111" t="s">
        <v>96</v>
      </c>
      <c r="D117" s="103">
        <v>45361.791550925926</v>
      </c>
      <c r="E117" s="103">
        <v>45361.837291666663</v>
      </c>
      <c r="F117" s="104">
        <f>StudyLog[[#This Row],[END]]-StudyLog[[#This Row],[START]]-(StudyLog[[#This Row],[PAUSED]]/(24*60))</f>
        <v>4.574074073752854E-2</v>
      </c>
      <c r="G117" s="105">
        <v>0</v>
      </c>
      <c r="H117" s="113">
        <v>4</v>
      </c>
      <c r="I117" s="105">
        <v>45</v>
      </c>
      <c r="J117" s="107">
        <v>3</v>
      </c>
      <c r="K117" s="108">
        <v>1</v>
      </c>
      <c r="L117" s="110">
        <f>StudyLog[[#This Row],[DAY]]</f>
        <v>45361</v>
      </c>
    </row>
    <row r="118" spans="1:12" ht="24" x14ac:dyDescent="0.25">
      <c r="A118" s="101">
        <v>6</v>
      </c>
      <c r="B118" s="102">
        <v>45361</v>
      </c>
      <c r="C118" s="111" t="s">
        <v>95</v>
      </c>
      <c r="D118" s="103">
        <v>45361.757164351853</v>
      </c>
      <c r="E118" s="103">
        <v>45361.777997685182</v>
      </c>
      <c r="F118" s="104">
        <f>StudyLog[[#This Row],[END]]-StudyLog[[#This Row],[START]]-(StudyLog[[#This Row],[PAUSED]]/(24*60))</f>
        <v>2.0833333328482695E-2</v>
      </c>
      <c r="G118" s="105">
        <v>0</v>
      </c>
      <c r="H118" s="113">
        <v>4</v>
      </c>
      <c r="I118" s="105">
        <v>30</v>
      </c>
      <c r="J118" s="107">
        <v>3</v>
      </c>
      <c r="K118" s="108">
        <v>1</v>
      </c>
      <c r="L118" s="110">
        <f>StudyLog[[#This Row],[DAY]]</f>
        <v>45361</v>
      </c>
    </row>
    <row r="119" spans="1:12" ht="24" x14ac:dyDescent="0.25">
      <c r="A119" s="101">
        <v>6</v>
      </c>
      <c r="B119" s="102">
        <v>45361</v>
      </c>
      <c r="C119" s="111" t="s">
        <v>94</v>
      </c>
      <c r="D119" s="103">
        <v>45361.728877314818</v>
      </c>
      <c r="E119" s="103">
        <v>45361.752534722225</v>
      </c>
      <c r="F119" s="104">
        <f>StudyLog[[#This Row],[END]]-StudyLog[[#This Row],[START]]-(StudyLog[[#This Row],[PAUSED]]/(24*60))</f>
        <v>2.0879629630103914E-2</v>
      </c>
      <c r="G119" s="105">
        <v>4</v>
      </c>
      <c r="H119" s="122">
        <v>4</v>
      </c>
      <c r="I119" s="105">
        <v>30</v>
      </c>
      <c r="J119" s="107">
        <v>3</v>
      </c>
      <c r="K119" s="108">
        <v>1</v>
      </c>
      <c r="L119" s="110">
        <f>StudyLog[[#This Row],[DAY]]</f>
        <v>45361</v>
      </c>
    </row>
    <row r="120" spans="1:12" ht="24" x14ac:dyDescent="0.25">
      <c r="A120" s="101">
        <v>6</v>
      </c>
      <c r="B120" s="102">
        <v>45361</v>
      </c>
      <c r="C120" s="121" t="s">
        <v>93</v>
      </c>
      <c r="D120" s="103">
        <v>45361.696689814817</v>
      </c>
      <c r="E120" s="103">
        <v>45361.721018518518</v>
      </c>
      <c r="F120" s="104">
        <f>StudyLog[[#This Row],[END]]-StudyLog[[#This Row],[START]]-(StudyLog[[#This Row],[PAUSED]]/(24*60))</f>
        <v>2.0856481478808239E-2</v>
      </c>
      <c r="G120" s="105">
        <v>5</v>
      </c>
      <c r="H120" s="112">
        <v>3</v>
      </c>
      <c r="I120" s="105">
        <v>45</v>
      </c>
      <c r="J120" s="107">
        <v>5</v>
      </c>
      <c r="K120" s="108">
        <v>1</v>
      </c>
      <c r="L120" s="110">
        <f>StudyLog[[#This Row],[DAY]]</f>
        <v>45361</v>
      </c>
    </row>
    <row r="121" spans="1:12" ht="24" x14ac:dyDescent="0.25">
      <c r="A121" s="101">
        <v>6</v>
      </c>
      <c r="B121" s="102">
        <v>45361</v>
      </c>
      <c r="C121" s="115" t="s">
        <v>92</v>
      </c>
      <c r="D121" s="103">
        <v>45361.485960648148</v>
      </c>
      <c r="E121" s="103">
        <v>45361.517210648148</v>
      </c>
      <c r="F121" s="104">
        <f>StudyLog[[#This Row],[END]]-StudyLog[[#This Row],[START]]-(StudyLog[[#This Row],[PAUSED]]/(24*60))</f>
        <v>3.125E-2</v>
      </c>
      <c r="G121" s="105">
        <v>0</v>
      </c>
      <c r="H121" s="113">
        <v>4</v>
      </c>
      <c r="I121" s="105">
        <v>45</v>
      </c>
      <c r="J121" s="107">
        <v>2</v>
      </c>
      <c r="K121" s="108">
        <v>1</v>
      </c>
      <c r="L121" s="110">
        <f>StudyLog[[#This Row],[DAY]]</f>
        <v>45361</v>
      </c>
    </row>
    <row r="122" spans="1:12" ht="24" x14ac:dyDescent="0.25">
      <c r="A122" s="101">
        <v>6</v>
      </c>
      <c r="B122" s="102">
        <v>45361</v>
      </c>
      <c r="C122" s="115" t="s">
        <v>91</v>
      </c>
      <c r="D122" s="103">
        <v>45361.453506944446</v>
      </c>
      <c r="E122" s="103">
        <v>45361.475636574076</v>
      </c>
      <c r="F122" s="104">
        <f>StudyLog[[#This Row],[END]]-StudyLog[[#This Row],[START]]-(StudyLog[[#This Row],[PAUSED]]/(24*60))</f>
        <v>2.21296296294895E-2</v>
      </c>
      <c r="G122" s="105">
        <v>0</v>
      </c>
      <c r="H122" s="122">
        <v>4</v>
      </c>
      <c r="I122" s="105">
        <v>30</v>
      </c>
      <c r="J122" s="107">
        <v>2</v>
      </c>
      <c r="K122" s="108">
        <v>1</v>
      </c>
      <c r="L122" s="110">
        <f>StudyLog[[#This Row],[DAY]]</f>
        <v>45361</v>
      </c>
    </row>
    <row r="123" spans="1:12" ht="24" x14ac:dyDescent="0.25">
      <c r="A123" s="101">
        <v>6</v>
      </c>
      <c r="B123" s="102">
        <v>45361</v>
      </c>
      <c r="C123" s="114" t="s">
        <v>90</v>
      </c>
      <c r="D123" s="103">
        <v>45361.414895833332</v>
      </c>
      <c r="E123" s="103">
        <v>45361.446145833332</v>
      </c>
      <c r="F123" s="104">
        <f>StudyLog[[#This Row],[END]]-StudyLog[[#This Row],[START]]-(StudyLog[[#This Row],[PAUSED]]/(24*60))</f>
        <v>2.4305555555555556E-2</v>
      </c>
      <c r="G123" s="105">
        <v>10</v>
      </c>
      <c r="H123" s="112">
        <v>3</v>
      </c>
      <c r="I123" s="105">
        <v>45</v>
      </c>
      <c r="J123" s="107">
        <v>1</v>
      </c>
      <c r="K123" s="108">
        <v>1</v>
      </c>
      <c r="L123" s="110">
        <f>StudyLog[[#This Row],[DAY]]</f>
        <v>45361</v>
      </c>
    </row>
    <row r="124" spans="1:12" ht="48" x14ac:dyDescent="0.25">
      <c r="A124" s="101">
        <v>6</v>
      </c>
      <c r="B124" s="102">
        <v>45361</v>
      </c>
      <c r="C124" s="114" t="s">
        <v>89</v>
      </c>
      <c r="D124" s="103">
        <v>45361.367337962962</v>
      </c>
      <c r="E124" s="103">
        <v>45361.398587962962</v>
      </c>
      <c r="F124" s="104">
        <f>StudyLog[[#This Row],[END]]-StudyLog[[#This Row],[START]]-(StudyLog[[#This Row],[PAUSED]]/(24*60))</f>
        <v>3.125E-2</v>
      </c>
      <c r="G124" s="105">
        <v>0</v>
      </c>
      <c r="H124" s="112">
        <v>3.5</v>
      </c>
      <c r="I124" s="105">
        <v>45</v>
      </c>
      <c r="J124" s="107">
        <v>1</v>
      </c>
      <c r="K124" s="108">
        <v>1</v>
      </c>
      <c r="L124" s="110">
        <f>StudyLog[[#This Row],[DAY]]</f>
        <v>45361</v>
      </c>
    </row>
    <row r="125" spans="1:12" ht="24" x14ac:dyDescent="0.25">
      <c r="A125" s="101">
        <v>5</v>
      </c>
      <c r="B125" s="102">
        <v>45359</v>
      </c>
      <c r="C125" s="117" t="s">
        <v>88</v>
      </c>
      <c r="D125" s="103">
        <v>45359.581261574072</v>
      </c>
      <c r="E125" s="103">
        <v>45359.598020833335</v>
      </c>
      <c r="F125" s="104">
        <f>StudyLog[[#This Row],[END]]-StudyLog[[#This Row],[START]]-(StudyLog[[#This Row],[PAUSED]]/(24*60))</f>
        <v>1.675925926247146E-2</v>
      </c>
      <c r="G125" s="105">
        <v>0</v>
      </c>
      <c r="H125" s="113">
        <v>4</v>
      </c>
      <c r="I125" s="105">
        <v>28</v>
      </c>
      <c r="J125" s="107">
        <v>4</v>
      </c>
      <c r="K125" s="108">
        <v>1</v>
      </c>
      <c r="L125" s="110">
        <f>StudyLog[[#This Row],[DAY]]</f>
        <v>45359</v>
      </c>
    </row>
    <row r="126" spans="1:12" ht="24" x14ac:dyDescent="0.25">
      <c r="A126" s="101">
        <v>5</v>
      </c>
      <c r="B126" s="102">
        <v>45359</v>
      </c>
      <c r="C126" s="115" t="s">
        <v>87</v>
      </c>
      <c r="D126" s="103">
        <v>45359.560324074075</v>
      </c>
      <c r="E126" s="103">
        <v>45359.581250000003</v>
      </c>
      <c r="F126" s="104">
        <f>StudyLog[[#This Row],[END]]-StudyLog[[#This Row],[START]]-(StudyLog[[#This Row],[PAUSED]]/(24*60))</f>
        <v>2.0925925928167999E-2</v>
      </c>
      <c r="G126" s="105">
        <v>0</v>
      </c>
      <c r="H126" s="113">
        <v>4.5</v>
      </c>
      <c r="I126" s="105">
        <v>30</v>
      </c>
      <c r="J126" s="107">
        <v>2</v>
      </c>
      <c r="K126" s="108">
        <v>1</v>
      </c>
      <c r="L126" s="110">
        <f>StudyLog[[#This Row],[DAY]]</f>
        <v>45359</v>
      </c>
    </row>
    <row r="127" spans="1:12" ht="48" x14ac:dyDescent="0.25">
      <c r="A127" s="101">
        <v>5</v>
      </c>
      <c r="B127" s="102">
        <v>45359</v>
      </c>
      <c r="C127" s="111" t="s">
        <v>86</v>
      </c>
      <c r="D127" s="103">
        <v>45359.512650462966</v>
      </c>
      <c r="E127" s="103">
        <v>45359.54996527778</v>
      </c>
      <c r="F127" s="104">
        <f>StudyLog[[#This Row],[END]]-StudyLog[[#This Row],[START]]-(StudyLog[[#This Row],[PAUSED]]/(24*60))</f>
        <v>3.5231481480392783E-2</v>
      </c>
      <c r="G127" s="105">
        <v>3</v>
      </c>
      <c r="H127" s="112">
        <v>3</v>
      </c>
      <c r="I127" s="105">
        <v>35</v>
      </c>
      <c r="J127" s="107">
        <v>3</v>
      </c>
      <c r="K127" s="108">
        <v>1</v>
      </c>
      <c r="L127" s="110">
        <f>StudyLog[[#This Row],[DAY]]</f>
        <v>45359</v>
      </c>
    </row>
    <row r="128" spans="1:12" ht="24" x14ac:dyDescent="0.25">
      <c r="A128" s="101">
        <v>5</v>
      </c>
      <c r="B128" s="102">
        <v>45359</v>
      </c>
      <c r="C128" s="111" t="s">
        <v>85</v>
      </c>
      <c r="D128" s="103">
        <v>45359.475925925923</v>
      </c>
      <c r="E128" s="103">
        <v>45359.504074074073</v>
      </c>
      <c r="F128" s="104">
        <f>StudyLog[[#This Row],[END]]-StudyLog[[#This Row],[START]]-(StudyLog[[#This Row],[PAUSED]]/(24*60))</f>
        <v>2.8148148150648922E-2</v>
      </c>
      <c r="G128" s="105">
        <v>0</v>
      </c>
      <c r="H128" s="122">
        <v>4</v>
      </c>
      <c r="I128" s="105">
        <v>35</v>
      </c>
      <c r="J128" s="107">
        <v>3</v>
      </c>
      <c r="K128" s="108">
        <v>1</v>
      </c>
      <c r="L128" s="110">
        <f>StudyLog[[#This Row],[DAY]]</f>
        <v>45359</v>
      </c>
    </row>
    <row r="129" spans="1:12" ht="24" x14ac:dyDescent="0.25">
      <c r="A129" s="101">
        <v>5</v>
      </c>
      <c r="B129" s="102">
        <v>45359</v>
      </c>
      <c r="C129" s="121" t="s">
        <v>84</v>
      </c>
      <c r="D129" s="103">
        <v>45359.457928240743</v>
      </c>
      <c r="E129" s="103">
        <v>45359.471250000002</v>
      </c>
      <c r="F129" s="104">
        <f>StudyLog[[#This Row],[END]]-StudyLog[[#This Row],[START]]-(StudyLog[[#This Row],[PAUSED]]/(24*60))</f>
        <v>1.1932870370381149E-2</v>
      </c>
      <c r="G129" s="105">
        <v>2</v>
      </c>
      <c r="H129" s="113">
        <v>4</v>
      </c>
      <c r="I129" s="105">
        <v>20</v>
      </c>
      <c r="J129" s="107">
        <v>5</v>
      </c>
      <c r="K129" s="108">
        <v>1</v>
      </c>
      <c r="L129" s="110">
        <f>StudyLog[[#This Row],[DAY]]</f>
        <v>45359</v>
      </c>
    </row>
    <row r="130" spans="1:12" ht="48" x14ac:dyDescent="0.25">
      <c r="A130" s="101">
        <v>5</v>
      </c>
      <c r="B130" s="102">
        <v>45359</v>
      </c>
      <c r="C130" s="114" t="s">
        <v>83</v>
      </c>
      <c r="D130" s="103">
        <v>45359.420543981483</v>
      </c>
      <c r="E130" s="103">
        <v>45359.441377314812</v>
      </c>
      <c r="F130" s="104">
        <f>StudyLog[[#This Row],[END]]-StudyLog[[#This Row],[START]]-(StudyLog[[#This Row],[PAUSED]]/(24*60))</f>
        <v>2.0833333328482695E-2</v>
      </c>
      <c r="G130" s="105">
        <v>0</v>
      </c>
      <c r="H130" s="113">
        <v>4</v>
      </c>
      <c r="I130" s="105">
        <v>30</v>
      </c>
      <c r="J130" s="107">
        <v>1</v>
      </c>
      <c r="K130" s="108">
        <v>1</v>
      </c>
      <c r="L130" s="110">
        <f>StudyLog[[#This Row],[DAY]]</f>
        <v>45359</v>
      </c>
    </row>
    <row r="131" spans="1:12" ht="24" x14ac:dyDescent="0.25">
      <c r="A131" s="101">
        <v>5</v>
      </c>
      <c r="B131" s="102">
        <v>45359</v>
      </c>
      <c r="C131" s="114" t="s">
        <v>82</v>
      </c>
      <c r="D131" s="103">
        <v>45359.374768518515</v>
      </c>
      <c r="E131" s="103">
        <v>45359.406018518515</v>
      </c>
      <c r="F131" s="104">
        <f>StudyLog[[#This Row],[END]]-StudyLog[[#This Row],[START]]-(StudyLog[[#This Row],[PAUSED]]/(24*60))</f>
        <v>3.125E-2</v>
      </c>
      <c r="G131" s="105">
        <v>0</v>
      </c>
      <c r="H131" s="112">
        <v>3.5</v>
      </c>
      <c r="I131" s="105">
        <v>45</v>
      </c>
      <c r="J131" s="107">
        <v>1</v>
      </c>
      <c r="K131" s="108">
        <v>1</v>
      </c>
      <c r="L131" s="110">
        <f>StudyLog[[#This Row],[DAY]]</f>
        <v>45359</v>
      </c>
    </row>
    <row r="132" spans="1:12" ht="24" x14ac:dyDescent="0.25">
      <c r="A132" s="101">
        <v>5</v>
      </c>
      <c r="B132" s="102">
        <v>45358</v>
      </c>
      <c r="C132" s="114" t="s">
        <v>81</v>
      </c>
      <c r="D132" s="103">
        <v>45358.471215277779</v>
      </c>
      <c r="E132" s="103">
        <v>45358.514675925922</v>
      </c>
      <c r="F132" s="104">
        <f>StudyLog[[#This Row],[END]]-StudyLog[[#This Row],[START]]-(StudyLog[[#This Row],[PAUSED]]/(24*60))</f>
        <v>4.3460648143081926E-2</v>
      </c>
      <c r="G132" s="105">
        <v>0</v>
      </c>
      <c r="H132" s="112">
        <v>3</v>
      </c>
      <c r="I132" s="105">
        <v>45</v>
      </c>
      <c r="J132" s="107">
        <v>1</v>
      </c>
      <c r="K132" s="108">
        <v>1</v>
      </c>
      <c r="L132" s="110">
        <f>StudyLog[[#This Row],[DAY]]</f>
        <v>45358</v>
      </c>
    </row>
    <row r="133" spans="1:12" ht="48" x14ac:dyDescent="0.25">
      <c r="A133" s="101">
        <v>5</v>
      </c>
      <c r="B133" s="102">
        <v>45358</v>
      </c>
      <c r="C133" s="114" t="s">
        <v>80</v>
      </c>
      <c r="D133" s="103">
        <v>45358.435729166667</v>
      </c>
      <c r="E133" s="103">
        <v>45358.460034722222</v>
      </c>
      <c r="F133" s="104">
        <f>StudyLog[[#This Row],[END]]-StudyLog[[#This Row],[START]]-(StudyLog[[#This Row],[PAUSED]]/(24*60))</f>
        <v>2.4305555554747116E-2</v>
      </c>
      <c r="G133" s="105">
        <v>0</v>
      </c>
      <c r="H133" s="112">
        <v>3.5</v>
      </c>
      <c r="I133" s="105">
        <v>35</v>
      </c>
      <c r="J133" s="107">
        <v>1</v>
      </c>
      <c r="K133" s="108">
        <v>1</v>
      </c>
      <c r="L133" s="110">
        <f>StudyLog[[#This Row],[DAY]]</f>
        <v>45358</v>
      </c>
    </row>
    <row r="134" spans="1:12" ht="48" x14ac:dyDescent="0.25">
      <c r="A134" s="61">
        <v>5</v>
      </c>
      <c r="B134" s="62">
        <v>45357</v>
      </c>
      <c r="C134" s="65" t="s">
        <v>78</v>
      </c>
      <c r="D134" s="63">
        <v>45357.892280092594</v>
      </c>
      <c r="E134" s="63">
        <v>45357.924224537041</v>
      </c>
      <c r="F134" s="104">
        <f>StudyLog[[#This Row],[END]]-StudyLog[[#This Row],[START]]-(StudyLog[[#This Row],[PAUSED]]/(24*60))</f>
        <v>3.1944444446708076E-2</v>
      </c>
      <c r="G134" s="71">
        <v>0</v>
      </c>
      <c r="H134" s="84">
        <v>4</v>
      </c>
      <c r="I134" s="71">
        <v>35</v>
      </c>
      <c r="J134" s="107">
        <v>1</v>
      </c>
      <c r="K134" s="119">
        <v>1</v>
      </c>
      <c r="L134" s="110">
        <f>StudyLog[[#This Row],[DAY]]</f>
        <v>45357</v>
      </c>
    </row>
    <row r="135" spans="1:12" ht="24" x14ac:dyDescent="0.25">
      <c r="A135" s="61">
        <v>5</v>
      </c>
      <c r="B135" s="62">
        <v>45357</v>
      </c>
      <c r="C135" s="64" t="s">
        <v>79</v>
      </c>
      <c r="D135" s="63">
        <v>45357.853506944448</v>
      </c>
      <c r="E135" s="63">
        <v>45357.874340277776</v>
      </c>
      <c r="F135" s="104">
        <f>StudyLog[[#This Row],[END]]-StudyLog[[#This Row],[START]]-(StudyLog[[#This Row],[PAUSED]]/(24*60))</f>
        <v>2.0833333328482695E-2</v>
      </c>
      <c r="G135" s="71">
        <v>0</v>
      </c>
      <c r="H135" s="85">
        <v>3</v>
      </c>
      <c r="I135" s="71">
        <v>30</v>
      </c>
      <c r="J135" s="107">
        <v>2</v>
      </c>
      <c r="K135" s="119">
        <v>1</v>
      </c>
      <c r="L135" s="110">
        <f>StudyLog[[#This Row],[DAY]]</f>
        <v>45357</v>
      </c>
    </row>
    <row r="136" spans="1:12" ht="24" x14ac:dyDescent="0.25">
      <c r="A136" s="101">
        <v>4</v>
      </c>
      <c r="B136" s="102">
        <v>45356</v>
      </c>
      <c r="C136" s="114" t="s">
        <v>77</v>
      </c>
      <c r="D136" s="103">
        <v>45356.586863425924</v>
      </c>
      <c r="E136" s="103">
        <v>45356.600752314815</v>
      </c>
      <c r="F136" s="104">
        <f>StudyLog[[#This Row],[END]]-StudyLog[[#This Row],[START]]-(StudyLog[[#This Row],[PAUSED]]/(24*60))</f>
        <v>1.3888888890505768E-2</v>
      </c>
      <c r="G136" s="105">
        <v>0</v>
      </c>
      <c r="H136" s="106"/>
      <c r="I136" s="105">
        <v>20</v>
      </c>
      <c r="J136" s="107">
        <v>1</v>
      </c>
      <c r="K136" s="119">
        <v>1</v>
      </c>
      <c r="L136" s="110">
        <f>StudyLog[[#This Row],[DAY]]</f>
        <v>45356</v>
      </c>
    </row>
    <row r="137" spans="1:12" ht="24" x14ac:dyDescent="0.25">
      <c r="A137" s="101">
        <v>4</v>
      </c>
      <c r="B137" s="102">
        <v>45356</v>
      </c>
      <c r="C137" s="115" t="s">
        <v>76</v>
      </c>
      <c r="D137" s="103">
        <v>45356.562800925924</v>
      </c>
      <c r="E137" s="103">
        <v>45356.582245370373</v>
      </c>
      <c r="F137" s="104">
        <f>StudyLog[[#This Row],[END]]-StudyLog[[#This Row],[START]]-(StudyLog[[#This Row],[PAUSED]]/(24*60))</f>
        <v>1.9444444449618459E-2</v>
      </c>
      <c r="G137" s="105">
        <v>0</v>
      </c>
      <c r="H137" s="113">
        <v>4</v>
      </c>
      <c r="I137" s="105">
        <v>30</v>
      </c>
      <c r="J137" s="107">
        <v>2</v>
      </c>
      <c r="K137" s="119">
        <v>1</v>
      </c>
      <c r="L137" s="110">
        <f>StudyLog[[#This Row],[DAY]]</f>
        <v>45356</v>
      </c>
    </row>
    <row r="138" spans="1:12" ht="24" x14ac:dyDescent="0.25">
      <c r="A138" s="101">
        <v>4</v>
      </c>
      <c r="B138" s="102">
        <v>45356</v>
      </c>
      <c r="C138" s="111" t="s">
        <v>75</v>
      </c>
      <c r="D138" s="103">
        <v>45356.537928240738</v>
      </c>
      <c r="E138" s="103">
        <v>45356.558761574073</v>
      </c>
      <c r="F138" s="104">
        <f>StudyLog[[#This Row],[END]]-StudyLog[[#This Row],[START]]-(StudyLog[[#This Row],[PAUSED]]/(24*60))</f>
        <v>1.875000000242532E-2</v>
      </c>
      <c r="G138" s="105">
        <v>3</v>
      </c>
      <c r="H138" s="113">
        <v>4</v>
      </c>
      <c r="I138" s="105">
        <v>30</v>
      </c>
      <c r="J138" s="107">
        <v>3</v>
      </c>
      <c r="K138" s="119">
        <v>1</v>
      </c>
      <c r="L138" s="110">
        <f>StudyLog[[#This Row],[DAY]]</f>
        <v>45356</v>
      </c>
    </row>
    <row r="139" spans="1:12" ht="24" x14ac:dyDescent="0.25">
      <c r="A139" s="101">
        <v>4</v>
      </c>
      <c r="B139" s="102">
        <v>45356</v>
      </c>
      <c r="C139" s="118" t="s">
        <v>74</v>
      </c>
      <c r="D139" s="103">
        <v>45356.504178240742</v>
      </c>
      <c r="E139" s="103">
        <v>45356.535428240742</v>
      </c>
      <c r="F139" s="104">
        <f>StudyLog[[#This Row],[END]]-StudyLog[[#This Row],[START]]-(StudyLog[[#This Row],[PAUSED]]/(24*60))</f>
        <v>3.125E-2</v>
      </c>
      <c r="G139" s="105">
        <v>0</v>
      </c>
      <c r="H139" s="113">
        <v>4</v>
      </c>
      <c r="I139" s="105">
        <v>50</v>
      </c>
      <c r="J139" s="107">
        <v>6</v>
      </c>
      <c r="K139" s="119">
        <v>1</v>
      </c>
      <c r="L139" s="110">
        <f>StudyLog[[#This Row],[DAY]]</f>
        <v>45356</v>
      </c>
    </row>
    <row r="140" spans="1:12" ht="24" x14ac:dyDescent="0.25">
      <c r="A140" s="101">
        <v>4</v>
      </c>
      <c r="B140" s="102">
        <v>45355</v>
      </c>
      <c r="C140" s="117" t="s">
        <v>107</v>
      </c>
      <c r="D140" s="103">
        <v>45355.861724537041</v>
      </c>
      <c r="E140" s="103">
        <v>45355.892974537041</v>
      </c>
      <c r="F140" s="104">
        <f>StudyLog[[#This Row],[END]]-StudyLog[[#This Row],[START]]-(StudyLog[[#This Row],[PAUSED]]/(24*60))</f>
        <v>3.125E-2</v>
      </c>
      <c r="G140" s="105">
        <v>0</v>
      </c>
      <c r="H140" s="112">
        <v>3</v>
      </c>
      <c r="I140" s="105">
        <v>45</v>
      </c>
      <c r="J140" s="107">
        <v>4</v>
      </c>
      <c r="K140" s="119">
        <v>1</v>
      </c>
      <c r="L140" s="110">
        <f>StudyLog[[#This Row],[DAY]]</f>
        <v>45355</v>
      </c>
    </row>
    <row r="141" spans="1:12" ht="24" x14ac:dyDescent="0.25">
      <c r="A141" s="101">
        <v>4</v>
      </c>
      <c r="B141" s="102">
        <v>45355</v>
      </c>
      <c r="C141" s="111" t="s">
        <v>73</v>
      </c>
      <c r="D141" s="103">
        <v>45355.812731481485</v>
      </c>
      <c r="E141" s="103">
        <v>45355.843981481485</v>
      </c>
      <c r="F141" s="104">
        <f>StudyLog[[#This Row],[END]]-StudyLog[[#This Row],[START]]-(StudyLog[[#This Row],[PAUSED]]/(24*60))</f>
        <v>3.125E-2</v>
      </c>
      <c r="G141" s="105">
        <v>0</v>
      </c>
      <c r="H141" s="113">
        <v>4</v>
      </c>
      <c r="I141" s="105">
        <v>45</v>
      </c>
      <c r="J141" s="107">
        <v>3</v>
      </c>
      <c r="K141" s="119">
        <v>1</v>
      </c>
      <c r="L141" s="110">
        <f>StudyLog[[#This Row],[DAY]]</f>
        <v>45355</v>
      </c>
    </row>
    <row r="142" spans="1:12" ht="48" x14ac:dyDescent="0.25">
      <c r="A142" s="101">
        <v>4</v>
      </c>
      <c r="B142" s="102">
        <v>45355</v>
      </c>
      <c r="C142" s="114" t="s">
        <v>72</v>
      </c>
      <c r="D142" s="103">
        <v>45355.743587962963</v>
      </c>
      <c r="E142" s="103">
        <v>45355.774837962963</v>
      </c>
      <c r="F142" s="104">
        <f>StudyLog[[#This Row],[END]]-StudyLog[[#This Row],[START]]-(StudyLog[[#This Row],[PAUSED]]/(24*60))</f>
        <v>3.125E-2</v>
      </c>
      <c r="G142" s="105">
        <v>0</v>
      </c>
      <c r="H142" s="116">
        <v>2.5</v>
      </c>
      <c r="I142" s="105">
        <v>45</v>
      </c>
      <c r="J142" s="107">
        <v>1</v>
      </c>
      <c r="K142" s="119">
        <v>1</v>
      </c>
      <c r="L142" s="110">
        <f>StudyLog[[#This Row],[DAY]]</f>
        <v>45355</v>
      </c>
    </row>
    <row r="143" spans="1:12" ht="48" x14ac:dyDescent="0.25">
      <c r="A143" s="101">
        <v>4</v>
      </c>
      <c r="B143" s="102">
        <v>45355</v>
      </c>
      <c r="C143" s="111" t="s">
        <v>71</v>
      </c>
      <c r="D143" s="103">
        <v>45355.432233796295</v>
      </c>
      <c r="E143" s="103">
        <v>45355.45653935185</v>
      </c>
      <c r="F143" s="104">
        <f>StudyLog[[#This Row],[END]]-StudyLog[[#This Row],[START]]-(StudyLog[[#This Row],[PAUSED]]/(24*60))</f>
        <v>2.4305555554747116E-2</v>
      </c>
      <c r="G143" s="105">
        <v>0</v>
      </c>
      <c r="H143" s="113">
        <v>4</v>
      </c>
      <c r="I143" s="105">
        <v>35</v>
      </c>
      <c r="J143" s="107">
        <v>3</v>
      </c>
      <c r="K143" s="119">
        <v>1</v>
      </c>
      <c r="L143" s="110">
        <f>StudyLog[[#This Row],[DAY]]</f>
        <v>45355</v>
      </c>
    </row>
    <row r="144" spans="1:12" ht="24" x14ac:dyDescent="0.25">
      <c r="A144" s="101">
        <v>4</v>
      </c>
      <c r="B144" s="102">
        <v>45355</v>
      </c>
      <c r="C144" s="115" t="s">
        <v>70</v>
      </c>
      <c r="D144" s="103">
        <v>45355.406435185185</v>
      </c>
      <c r="E144" s="103">
        <v>45355.427268518521</v>
      </c>
      <c r="F144" s="104">
        <f>StudyLog[[#This Row],[END]]-StudyLog[[#This Row],[START]]-(StudyLog[[#This Row],[PAUSED]]/(24*60))</f>
        <v>2.0833333335758653E-2</v>
      </c>
      <c r="G144" s="105">
        <v>0</v>
      </c>
      <c r="H144" s="113">
        <v>4</v>
      </c>
      <c r="I144" s="105">
        <v>30</v>
      </c>
      <c r="J144" s="107">
        <v>2</v>
      </c>
      <c r="K144" s="119">
        <v>1</v>
      </c>
      <c r="L144" s="110">
        <f>StudyLog[[#This Row],[DAY]]</f>
        <v>45355</v>
      </c>
    </row>
    <row r="145" spans="1:12" ht="120" x14ac:dyDescent="0.25">
      <c r="A145" s="101">
        <v>4</v>
      </c>
      <c r="B145" s="102">
        <v>45355</v>
      </c>
      <c r="C145" s="114" t="s">
        <v>69</v>
      </c>
      <c r="D145" s="103">
        <v>45355.362256944441</v>
      </c>
      <c r="E145" s="103">
        <v>45355.396979166668</v>
      </c>
      <c r="F145" s="104">
        <f>StudyLog[[#This Row],[END]]-StudyLog[[#This Row],[START]]-(StudyLog[[#This Row],[PAUSED]]/(24*60))</f>
        <v>3.4722222226264421E-2</v>
      </c>
      <c r="G145" s="105">
        <v>0</v>
      </c>
      <c r="H145" s="112">
        <v>3</v>
      </c>
      <c r="I145" s="105">
        <v>50</v>
      </c>
      <c r="J145" s="107">
        <v>1</v>
      </c>
      <c r="K145" s="119">
        <v>1</v>
      </c>
      <c r="L145" s="110">
        <f>StudyLog[[#This Row],[DAY]]</f>
        <v>45355</v>
      </c>
    </row>
    <row r="146" spans="1:12" ht="96" x14ac:dyDescent="0.25">
      <c r="A146" s="101">
        <v>4</v>
      </c>
      <c r="B146" s="102">
        <v>45354</v>
      </c>
      <c r="C146" s="111" t="s">
        <v>68</v>
      </c>
      <c r="D146" s="103">
        <v>45354.773576388892</v>
      </c>
      <c r="E146" s="103">
        <v>45354.809421296297</v>
      </c>
      <c r="F146" s="104">
        <f>StudyLog[[#This Row],[END]]-StudyLog[[#This Row],[START]]-(StudyLog[[#This Row],[PAUSED]]/(24*60))</f>
        <v>3.5844907404680271E-2</v>
      </c>
      <c r="G146" s="105">
        <v>0</v>
      </c>
      <c r="H146" s="113">
        <v>4</v>
      </c>
      <c r="I146" s="105">
        <v>50</v>
      </c>
      <c r="J146" s="107">
        <v>3</v>
      </c>
      <c r="K146" s="119">
        <v>1</v>
      </c>
      <c r="L146" s="110">
        <f>StudyLog[[#This Row],[DAY]]</f>
        <v>45354</v>
      </c>
    </row>
    <row r="147" spans="1:12" ht="24" x14ac:dyDescent="0.25">
      <c r="A147" s="61">
        <v>4</v>
      </c>
      <c r="B147" s="62">
        <v>45354</v>
      </c>
      <c r="C147" s="64" t="s">
        <v>66</v>
      </c>
      <c r="D147" s="63">
        <v>45354.722268518519</v>
      </c>
      <c r="E147" s="63">
        <v>45354.753518518519</v>
      </c>
      <c r="F147" s="90">
        <f>StudyLog[[#This Row],[END]]-StudyLog[[#This Row],[START]]-(StudyLog[[#This Row],[PAUSED]]/(24*60))</f>
        <v>3.125E-2</v>
      </c>
      <c r="G147" s="71">
        <v>0</v>
      </c>
      <c r="H147" s="84">
        <v>4</v>
      </c>
      <c r="I147" s="71">
        <v>45</v>
      </c>
      <c r="J147" s="120">
        <v>2</v>
      </c>
      <c r="K147" s="27">
        <v>1</v>
      </c>
      <c r="L147" s="29">
        <f>StudyLog[[#This Row],[DAY]]</f>
        <v>45354</v>
      </c>
    </row>
    <row r="148" spans="1:12" ht="48" x14ac:dyDescent="0.25">
      <c r="A148" s="61">
        <v>4</v>
      </c>
      <c r="B148" s="62">
        <v>45354</v>
      </c>
      <c r="C148" s="66" t="s">
        <v>65</v>
      </c>
      <c r="D148" s="63">
        <v>45354.676550925928</v>
      </c>
      <c r="E148" s="63">
        <v>45354.711273148147</v>
      </c>
      <c r="F148" s="90">
        <f>StudyLog[[#This Row],[END]]-StudyLog[[#This Row],[START]]-(StudyLog[[#This Row],[PAUSED]]/(24*60))</f>
        <v>3.4722222218988463E-2</v>
      </c>
      <c r="G148" s="71">
        <v>0</v>
      </c>
      <c r="H148" s="85">
        <v>3</v>
      </c>
      <c r="I148" s="71">
        <v>50</v>
      </c>
      <c r="J148" s="120">
        <v>3</v>
      </c>
      <c r="K148" s="27">
        <v>1</v>
      </c>
      <c r="L148" s="29">
        <f>StudyLog[[#This Row],[DAY]]</f>
        <v>45354</v>
      </c>
    </row>
    <row r="149" spans="1:12" ht="24" x14ac:dyDescent="0.25">
      <c r="A149" s="61">
        <v>4</v>
      </c>
      <c r="B149" s="62">
        <v>45354</v>
      </c>
      <c r="C149" s="64" t="s">
        <v>64</v>
      </c>
      <c r="D149" s="63">
        <v>45354.621087962965</v>
      </c>
      <c r="E149" s="63">
        <v>45354.655810185184</v>
      </c>
      <c r="F149" s="90">
        <f>StudyLog[[#This Row],[END]]-StudyLog[[#This Row],[START]]-(StudyLog[[#This Row],[PAUSED]]/(24*60))</f>
        <v>3.4722222218988463E-2</v>
      </c>
      <c r="G149" s="71">
        <v>0</v>
      </c>
      <c r="H149" s="85">
        <v>3</v>
      </c>
      <c r="I149" s="71">
        <v>50</v>
      </c>
      <c r="J149" s="120">
        <v>2</v>
      </c>
      <c r="K149" s="27">
        <v>1</v>
      </c>
      <c r="L149" s="29">
        <f>StudyLog[[#This Row],[DAY]]</f>
        <v>45354</v>
      </c>
    </row>
    <row r="150" spans="1:12" ht="24" x14ac:dyDescent="0.25">
      <c r="A150" s="61">
        <v>4</v>
      </c>
      <c r="B150" s="62">
        <v>45354</v>
      </c>
      <c r="C150" s="64" t="s">
        <v>63</v>
      </c>
      <c r="D150" s="63">
        <v>45354.465486111112</v>
      </c>
      <c r="E150" s="63">
        <v>45354.502291666664</v>
      </c>
      <c r="F150" s="90">
        <f>StudyLog[[#This Row],[END]]-StudyLog[[#This Row],[START]]-(StudyLog[[#This Row],[PAUSED]]/(24*60))</f>
        <v>3.6805555551836733E-2</v>
      </c>
      <c r="G150" s="71">
        <v>0</v>
      </c>
      <c r="H150" s="85">
        <v>3</v>
      </c>
      <c r="I150" s="71">
        <v>50</v>
      </c>
      <c r="J150" s="120">
        <v>2</v>
      </c>
      <c r="K150" s="27">
        <v>1</v>
      </c>
      <c r="L150" s="29">
        <f>StudyLog[[#This Row],[DAY]]</f>
        <v>45354</v>
      </c>
    </row>
    <row r="151" spans="1:12" ht="72" x14ac:dyDescent="0.25">
      <c r="A151" s="61">
        <v>4</v>
      </c>
      <c r="B151" s="62">
        <v>45354</v>
      </c>
      <c r="C151" s="65" t="s">
        <v>62</v>
      </c>
      <c r="D151" s="63">
        <v>45354.419432870374</v>
      </c>
      <c r="E151" s="63">
        <v>45354.454155092593</v>
      </c>
      <c r="F151" s="90">
        <f>StudyLog[[#This Row],[END]]-StudyLog[[#This Row],[START]]-(StudyLog[[#This Row],[PAUSED]]/(24*60))</f>
        <v>3.4722222218988463E-2</v>
      </c>
      <c r="G151" s="71">
        <v>0</v>
      </c>
      <c r="H151" s="86">
        <v>2</v>
      </c>
      <c r="I151" s="71">
        <v>50</v>
      </c>
      <c r="J151" s="120">
        <v>1</v>
      </c>
      <c r="K151" s="27">
        <v>1</v>
      </c>
      <c r="L151" s="29">
        <f>StudyLog[[#This Row],[DAY]]</f>
        <v>45354</v>
      </c>
    </row>
    <row r="152" spans="1:12" ht="48" x14ac:dyDescent="0.25">
      <c r="A152" s="61">
        <v>4</v>
      </c>
      <c r="B152" s="62">
        <v>45354</v>
      </c>
      <c r="C152" s="65" t="s">
        <v>67</v>
      </c>
      <c r="D152" s="63">
        <v>45354.370300925926</v>
      </c>
      <c r="E152" s="63">
        <v>45354.405023148145</v>
      </c>
      <c r="F152" s="90">
        <f>StudyLog[[#This Row],[END]]-StudyLog[[#This Row],[START]]-(StudyLog[[#This Row],[PAUSED]]/(24*60))</f>
        <v>3.4722222218988463E-2</v>
      </c>
      <c r="G152" s="71">
        <v>0</v>
      </c>
      <c r="H152" s="84">
        <v>4</v>
      </c>
      <c r="I152" s="71">
        <v>50</v>
      </c>
      <c r="J152" s="120">
        <v>1</v>
      </c>
      <c r="K152" s="27">
        <v>1</v>
      </c>
      <c r="L152" s="29">
        <f>StudyLog[[#This Row],[DAY]]</f>
        <v>45354</v>
      </c>
    </row>
    <row r="153" spans="1:12" ht="24" x14ac:dyDescent="0.25">
      <c r="A153" s="61">
        <v>3</v>
      </c>
      <c r="B153" s="62">
        <v>45353</v>
      </c>
      <c r="C153" s="65" t="s">
        <v>59</v>
      </c>
      <c r="D153" s="63">
        <v>45353.549004629633</v>
      </c>
      <c r="E153" s="63">
        <v>45353.583726851852</v>
      </c>
      <c r="F153" s="90">
        <f>StudyLog[[#This Row],[END]]-StudyLog[[#This Row],[START]]-(StudyLog[[#This Row],[PAUSED]]/(24*60))</f>
        <v>3.4722222218988463E-2</v>
      </c>
      <c r="G153" s="71">
        <v>0</v>
      </c>
      <c r="H153" s="84">
        <v>4</v>
      </c>
      <c r="I153" s="71">
        <v>50</v>
      </c>
      <c r="J153" s="120">
        <v>1</v>
      </c>
      <c r="K153" s="27">
        <v>1</v>
      </c>
      <c r="L153" s="29">
        <f>StudyLog[[#This Row],[DAY]]</f>
        <v>45353</v>
      </c>
    </row>
    <row r="154" spans="1:12" ht="48" x14ac:dyDescent="0.25">
      <c r="A154" s="61">
        <v>3</v>
      </c>
      <c r="B154" s="62">
        <v>45353</v>
      </c>
      <c r="C154" s="65" t="s">
        <v>58</v>
      </c>
      <c r="D154" s="63">
        <v>45353.388437499998</v>
      </c>
      <c r="E154" s="63">
        <v>45353.409270833334</v>
      </c>
      <c r="F154" s="90">
        <f>StudyLog[[#This Row],[END]]-StudyLog[[#This Row],[START]]-(StudyLog[[#This Row],[PAUSED]]/(24*60))</f>
        <v>2.0833333335758653E-2</v>
      </c>
      <c r="G154" s="71">
        <v>0</v>
      </c>
      <c r="H154" s="84">
        <v>4</v>
      </c>
      <c r="I154" s="71">
        <v>30</v>
      </c>
      <c r="J154" s="120">
        <v>1</v>
      </c>
      <c r="K154" s="27">
        <v>1</v>
      </c>
      <c r="L154" s="29">
        <f>StudyLog[[#This Row],[DAY]]</f>
        <v>45353</v>
      </c>
    </row>
    <row r="155" spans="1:12" ht="48" x14ac:dyDescent="0.25">
      <c r="A155" s="61">
        <v>3</v>
      </c>
      <c r="B155" s="62">
        <v>45353</v>
      </c>
      <c r="C155" s="65" t="s">
        <v>57</v>
      </c>
      <c r="D155" s="63">
        <v>45353.36405092592</v>
      </c>
      <c r="E155" s="63">
        <v>45353.384884259256</v>
      </c>
      <c r="F155" s="90">
        <f>StudyLog[[#This Row],[END]]-StudyLog[[#This Row],[START]]-(StudyLog[[#This Row],[PAUSED]]/(24*60))</f>
        <v>2.0833333335758653E-2</v>
      </c>
      <c r="G155" s="71">
        <v>0</v>
      </c>
      <c r="H155" s="85">
        <v>3</v>
      </c>
      <c r="I155" s="71">
        <v>30</v>
      </c>
      <c r="J155" s="120">
        <v>1</v>
      </c>
      <c r="K155" s="27">
        <v>1</v>
      </c>
      <c r="L155" s="29">
        <f>StudyLog[[#This Row],[DAY]]</f>
        <v>45353</v>
      </c>
    </row>
    <row r="156" spans="1:12" ht="24" x14ac:dyDescent="0.25">
      <c r="A156" s="61">
        <v>3</v>
      </c>
      <c r="B156" s="62">
        <v>45351</v>
      </c>
      <c r="C156" s="66" t="s">
        <v>56</v>
      </c>
      <c r="D156" s="63">
        <v>45351.878263888888</v>
      </c>
      <c r="E156" s="63">
        <v>45351.900347222225</v>
      </c>
      <c r="F156" s="90">
        <f>StudyLog[[#This Row],[END]]-StudyLog[[#This Row],[START]]-(StudyLog[[#This Row],[PAUSED]]/(24*60))</f>
        <v>2.2083333336922806E-2</v>
      </c>
      <c r="G156" s="71">
        <v>0</v>
      </c>
      <c r="H156" s="91">
        <v>5</v>
      </c>
      <c r="I156" s="71">
        <v>25</v>
      </c>
      <c r="J156" s="120">
        <v>3</v>
      </c>
      <c r="K156" s="27">
        <v>1</v>
      </c>
      <c r="L156" s="29">
        <f>StudyLog[[#This Row],[DAY]]</f>
        <v>45351</v>
      </c>
    </row>
    <row r="157" spans="1:12" ht="48" x14ac:dyDescent="0.25">
      <c r="A157" s="61">
        <v>3</v>
      </c>
      <c r="B157" s="62">
        <v>45351</v>
      </c>
      <c r="C157" s="74" t="s">
        <v>61</v>
      </c>
      <c r="D157" s="63">
        <v>45351.754143518519</v>
      </c>
      <c r="E157" s="63">
        <v>45351.76803240741</v>
      </c>
      <c r="F157" s="90">
        <f>StudyLog[[#This Row],[END]]-StudyLog[[#This Row],[START]]-(StudyLog[[#This Row],[PAUSED]]/(24*60))</f>
        <v>1.3888888890505768E-2</v>
      </c>
      <c r="G157" s="71">
        <v>0</v>
      </c>
      <c r="H157" s="92">
        <v>3.5</v>
      </c>
      <c r="I157" s="71">
        <v>20</v>
      </c>
      <c r="J157" s="120">
        <v>6</v>
      </c>
      <c r="K157" s="27">
        <v>1</v>
      </c>
      <c r="L157" s="29">
        <f>StudyLog[[#This Row],[DAY]]</f>
        <v>45351</v>
      </c>
    </row>
    <row r="158" spans="1:12" ht="48" x14ac:dyDescent="0.25">
      <c r="A158" s="61">
        <v>3</v>
      </c>
      <c r="B158" s="62">
        <v>45351</v>
      </c>
      <c r="C158" s="66" t="s">
        <v>55</v>
      </c>
      <c r="D158" s="63">
        <v>45351.713368055556</v>
      </c>
      <c r="E158" s="63">
        <v>45351.748564814814</v>
      </c>
      <c r="F158" s="90">
        <f>StudyLog[[#This Row],[END]]-StudyLog[[#This Row],[START]]-(StudyLog[[#This Row],[PAUSED]]/(24*60))</f>
        <v>3.5196759257814847E-2</v>
      </c>
      <c r="G158" s="71">
        <v>0</v>
      </c>
      <c r="H158" s="84">
        <v>4</v>
      </c>
      <c r="I158" s="71">
        <v>50</v>
      </c>
      <c r="J158" s="120">
        <v>3</v>
      </c>
      <c r="K158" s="27">
        <v>1</v>
      </c>
      <c r="L158" s="29">
        <f>StudyLog[[#This Row],[DAY]]</f>
        <v>45351</v>
      </c>
    </row>
    <row r="159" spans="1:12" ht="72" x14ac:dyDescent="0.25">
      <c r="A159" s="61">
        <v>3</v>
      </c>
      <c r="B159" s="62">
        <v>45351</v>
      </c>
      <c r="C159" s="64" t="s">
        <v>54</v>
      </c>
      <c r="D159" s="63">
        <v>45351.661828703705</v>
      </c>
      <c r="E159" s="63">
        <v>45351.702581018515</v>
      </c>
      <c r="F159" s="90">
        <f>StudyLog[[#This Row],[END]]-StudyLog[[#This Row],[START]]-(StudyLog[[#This Row],[PAUSED]]/(24*60))</f>
        <v>4.075231480965158E-2</v>
      </c>
      <c r="G159" s="71">
        <v>0</v>
      </c>
      <c r="H159" s="84">
        <v>4</v>
      </c>
      <c r="I159" s="71">
        <v>50</v>
      </c>
      <c r="J159" s="120">
        <v>2</v>
      </c>
      <c r="K159" s="27">
        <v>1</v>
      </c>
      <c r="L159" s="29">
        <f>StudyLog[[#This Row],[DAY]]</f>
        <v>45351</v>
      </c>
    </row>
    <row r="160" spans="1:12" ht="72" x14ac:dyDescent="0.25">
      <c r="A160" s="61">
        <v>3</v>
      </c>
      <c r="B160" s="62">
        <v>45351</v>
      </c>
      <c r="C160" s="65" t="s">
        <v>60</v>
      </c>
      <c r="D160" s="63">
        <v>45351.600312499999</v>
      </c>
      <c r="E160" s="63">
        <v>45351.64947916667</v>
      </c>
      <c r="F160" s="90">
        <f>StudyLog[[#This Row],[END]]-StudyLog[[#This Row],[START]]-(StudyLog[[#This Row],[PAUSED]]/(24*60))</f>
        <v>4.2222222226781819E-2</v>
      </c>
      <c r="G160" s="71">
        <v>10</v>
      </c>
      <c r="H160" s="86">
        <v>2.5</v>
      </c>
      <c r="I160" s="71">
        <v>50</v>
      </c>
      <c r="J160" s="120">
        <v>1</v>
      </c>
      <c r="K160" s="27">
        <v>1</v>
      </c>
      <c r="L160" s="29">
        <f>StudyLog[[#This Row],[DAY]]</f>
        <v>45351</v>
      </c>
    </row>
    <row r="161" spans="1:12" ht="24" x14ac:dyDescent="0.25">
      <c r="A161" s="61">
        <v>3</v>
      </c>
      <c r="B161" s="62">
        <v>45351</v>
      </c>
      <c r="C161" s="66" t="s">
        <v>53</v>
      </c>
      <c r="D161" s="63">
        <v>45351.471134259256</v>
      </c>
      <c r="E161" s="63">
        <v>45351.513506944444</v>
      </c>
      <c r="F161" s="90">
        <f>StudyLog[[#This Row],[END]]-StudyLog[[#This Row],[START]]-(StudyLog[[#This Row],[PAUSED]]/(24*60))</f>
        <v>4.2372685187729076E-2</v>
      </c>
      <c r="G161" s="71">
        <v>0</v>
      </c>
      <c r="H161" s="85">
        <v>3</v>
      </c>
      <c r="I161" s="71">
        <v>50</v>
      </c>
      <c r="J161" s="120">
        <v>3</v>
      </c>
      <c r="K161" s="27">
        <v>1</v>
      </c>
      <c r="L161" s="29">
        <f>StudyLog[[#This Row],[DAY]]</f>
        <v>45351</v>
      </c>
    </row>
    <row r="162" spans="1:12" ht="48" x14ac:dyDescent="0.25">
      <c r="A162" s="61">
        <v>3</v>
      </c>
      <c r="B162" s="62">
        <v>45351</v>
      </c>
      <c r="C162" s="64" t="s">
        <v>52</v>
      </c>
      <c r="D162" s="63">
        <v>45351.42728009259</v>
      </c>
      <c r="E162" s="63">
        <v>45351.464085648149</v>
      </c>
      <c r="F162" s="90">
        <f>StudyLog[[#This Row],[END]]-StudyLog[[#This Row],[START]]-(StudyLog[[#This Row],[PAUSED]]/(24*60))</f>
        <v>3.680555555911269E-2</v>
      </c>
      <c r="G162" s="71">
        <v>0</v>
      </c>
      <c r="H162" s="85">
        <v>3</v>
      </c>
      <c r="I162" s="71">
        <v>50</v>
      </c>
      <c r="J162" s="120">
        <v>2</v>
      </c>
      <c r="K162" s="27">
        <v>1</v>
      </c>
      <c r="L162" s="29">
        <f>StudyLog[[#This Row],[DAY]]</f>
        <v>45351</v>
      </c>
    </row>
    <row r="163" spans="1:12" ht="48" x14ac:dyDescent="0.25">
      <c r="A163" s="61">
        <v>3</v>
      </c>
      <c r="B163" s="62">
        <v>45351</v>
      </c>
      <c r="C163" s="66" t="s">
        <v>51</v>
      </c>
      <c r="D163" s="63">
        <v>45351.384027777778</v>
      </c>
      <c r="E163" s="63">
        <v>45351.418749999997</v>
      </c>
      <c r="F163" s="90">
        <f>StudyLog[[#This Row],[END]]-StudyLog[[#This Row],[START]]-(StudyLog[[#This Row],[PAUSED]]/(24*60))</f>
        <v>3.4722222218988463E-2</v>
      </c>
      <c r="G163" s="71">
        <v>0</v>
      </c>
      <c r="H163" s="84">
        <v>3.5</v>
      </c>
      <c r="I163" s="71">
        <v>50</v>
      </c>
      <c r="J163" s="120">
        <v>3</v>
      </c>
      <c r="K163" s="27">
        <v>1</v>
      </c>
      <c r="L163" s="29">
        <f>StudyLog[[#This Row],[DAY]]</f>
        <v>45351</v>
      </c>
    </row>
    <row r="164" spans="1:12" ht="72" x14ac:dyDescent="0.25">
      <c r="A164" s="61">
        <v>3</v>
      </c>
      <c r="B164" s="62">
        <v>45350</v>
      </c>
      <c r="C164" s="65" t="s">
        <v>50</v>
      </c>
      <c r="D164" s="63">
        <v>45350.764155092591</v>
      </c>
      <c r="E164" s="63">
        <v>45350.803842592592</v>
      </c>
      <c r="F164" s="90">
        <f>StudyLog[[#This Row],[END]]-StudyLog[[#This Row],[START]]-(StudyLog[[#This Row],[PAUSED]]/(24*60))</f>
        <v>3.9687500000582077E-2</v>
      </c>
      <c r="G164" s="71">
        <v>0</v>
      </c>
      <c r="H164" s="85">
        <v>3</v>
      </c>
      <c r="I164" s="71">
        <v>50</v>
      </c>
      <c r="J164" s="120">
        <v>1</v>
      </c>
      <c r="K164" s="27">
        <v>1</v>
      </c>
      <c r="L164" s="29">
        <f>StudyLog[[#This Row],[DAY]]</f>
        <v>45350</v>
      </c>
    </row>
    <row r="165" spans="1:12" ht="24" x14ac:dyDescent="0.25">
      <c r="A165" s="61">
        <v>3</v>
      </c>
      <c r="B165" s="62">
        <v>45350</v>
      </c>
      <c r="C165" s="64" t="s">
        <v>49</v>
      </c>
      <c r="D165" s="63">
        <v>45350.368981481479</v>
      </c>
      <c r="E165" s="63">
        <v>45350.392650462964</v>
      </c>
      <c r="F165" s="90">
        <f>StudyLog[[#This Row],[END]]-StudyLog[[#This Row],[START]]-(StudyLog[[#This Row],[PAUSED]]/(24*60))</f>
        <v>2.3668981484661344E-2</v>
      </c>
      <c r="G165" s="71">
        <v>0</v>
      </c>
      <c r="H165" s="85">
        <v>3</v>
      </c>
      <c r="I165" s="71">
        <v>35</v>
      </c>
      <c r="J165" s="120">
        <v>2</v>
      </c>
      <c r="K165" s="27">
        <v>1</v>
      </c>
      <c r="L165" s="29">
        <f>StudyLog[[#This Row],[DAY]]</f>
        <v>45350</v>
      </c>
    </row>
    <row r="166" spans="1:12" ht="24" x14ac:dyDescent="0.25">
      <c r="A166" s="61">
        <v>2</v>
      </c>
      <c r="B166" s="62">
        <v>45349</v>
      </c>
      <c r="C166" s="66" t="s">
        <v>48</v>
      </c>
      <c r="D166" s="63">
        <v>45349.579953703702</v>
      </c>
      <c r="E166" s="63">
        <v>45349.607291666667</v>
      </c>
      <c r="F166" s="90">
        <f>StudyLog[[#This Row],[END]]-StudyLog[[#This Row],[START]]-(StudyLog[[#This Row],[PAUSED]]/(24*60))</f>
        <v>2.7337962965248153E-2</v>
      </c>
      <c r="G166" s="71">
        <v>0</v>
      </c>
      <c r="H166" s="86">
        <v>2</v>
      </c>
      <c r="I166" s="71">
        <v>30</v>
      </c>
      <c r="J166" s="120">
        <v>3</v>
      </c>
      <c r="K166" s="27">
        <v>1</v>
      </c>
      <c r="L166" s="29">
        <f>StudyLog[[#This Row],[DAY]]</f>
        <v>45349</v>
      </c>
    </row>
    <row r="167" spans="1:12" ht="24" x14ac:dyDescent="0.25">
      <c r="A167" s="61">
        <v>2</v>
      </c>
      <c r="B167" s="62">
        <v>45349</v>
      </c>
      <c r="C167" s="66" t="s">
        <v>46</v>
      </c>
      <c r="D167" s="63">
        <v>45349.545370370368</v>
      </c>
      <c r="E167" s="63">
        <v>45349.577939814815</v>
      </c>
      <c r="F167" s="90">
        <f>StudyLog[[#This Row],[END]]-StudyLog[[#This Row],[START]]-(StudyLog[[#This Row],[PAUSED]]/(24*60))</f>
        <v>3.2569444447290152E-2</v>
      </c>
      <c r="G167" s="71">
        <v>0</v>
      </c>
      <c r="H167" s="85">
        <v>3</v>
      </c>
      <c r="I167" s="71">
        <v>30</v>
      </c>
      <c r="J167" s="120">
        <v>3</v>
      </c>
      <c r="K167" s="27">
        <v>1</v>
      </c>
      <c r="L167" s="29">
        <f>StudyLog[[#This Row],[DAY]]</f>
        <v>45349</v>
      </c>
    </row>
    <row r="168" spans="1:12" ht="24" x14ac:dyDescent="0.25">
      <c r="A168" s="61">
        <v>2</v>
      </c>
      <c r="B168" s="62">
        <v>45348</v>
      </c>
      <c r="C168" s="66" t="s">
        <v>45</v>
      </c>
      <c r="D168" s="63">
        <v>45348.899826388886</v>
      </c>
      <c r="E168" s="63">
        <v>45348.913993055554</v>
      </c>
      <c r="F168" s="90">
        <f>StudyLog[[#This Row],[END]]-StudyLog[[#This Row],[START]]-(StudyLog[[#This Row],[PAUSED]]/(24*60))</f>
        <v>1.0694444445511585E-2</v>
      </c>
      <c r="G168" s="71">
        <v>5</v>
      </c>
      <c r="H168" s="86">
        <v>2</v>
      </c>
      <c r="I168" s="71">
        <v>20</v>
      </c>
      <c r="J168" s="120">
        <v>3</v>
      </c>
      <c r="K168" s="27">
        <v>1</v>
      </c>
      <c r="L168" s="29">
        <f>StudyLog[[#This Row],[DAY]]</f>
        <v>45348</v>
      </c>
    </row>
    <row r="169" spans="1:12" ht="24" x14ac:dyDescent="0.25">
      <c r="A169" s="61">
        <v>2</v>
      </c>
      <c r="B169" s="62">
        <v>45348</v>
      </c>
      <c r="C169" s="66" t="s">
        <v>44</v>
      </c>
      <c r="D169" s="63">
        <v>45348.788715277777</v>
      </c>
      <c r="E169" s="63">
        <v>45348.814502314817</v>
      </c>
      <c r="F169" s="90">
        <f>StudyLog[[#This Row],[END]]-StudyLog[[#This Row],[START]]-(StudyLog[[#This Row],[PAUSED]]/(24*60))</f>
        <v>2.5787037040572613E-2</v>
      </c>
      <c r="G169" s="71">
        <v>0</v>
      </c>
      <c r="H169" s="86">
        <v>2</v>
      </c>
      <c r="I169" s="71">
        <v>30</v>
      </c>
      <c r="J169" s="120">
        <v>3</v>
      </c>
      <c r="K169" s="27">
        <v>1</v>
      </c>
      <c r="L169" s="29">
        <f>StudyLog[[#This Row],[DAY]]</f>
        <v>45348</v>
      </c>
    </row>
    <row r="170" spans="1:12" ht="48" x14ac:dyDescent="0.25">
      <c r="A170" s="61">
        <v>2</v>
      </c>
      <c r="B170" s="62">
        <v>45348</v>
      </c>
      <c r="C170" s="65" t="s">
        <v>43</v>
      </c>
      <c r="D170" s="63">
        <v>45348.760474537034</v>
      </c>
      <c r="E170" s="63">
        <v>45348.781307870369</v>
      </c>
      <c r="F170" s="90">
        <f>StudyLog[[#This Row],[END]]-StudyLog[[#This Row],[START]]-(StudyLog[[#This Row],[PAUSED]]/(24*60))</f>
        <v>2.0833333335758653E-2</v>
      </c>
      <c r="G170" s="71">
        <v>0</v>
      </c>
      <c r="H170" s="87">
        <v>1</v>
      </c>
      <c r="I170" s="71">
        <v>30</v>
      </c>
      <c r="J170" s="120">
        <v>1</v>
      </c>
      <c r="K170" s="27">
        <v>1</v>
      </c>
      <c r="L170" s="29">
        <f>StudyLog[[#This Row],[DAY]]</f>
        <v>45348</v>
      </c>
    </row>
    <row r="171" spans="1:12" ht="48" x14ac:dyDescent="0.25">
      <c r="A171" s="61">
        <v>2</v>
      </c>
      <c r="B171" s="62">
        <v>45348</v>
      </c>
      <c r="C171" s="64" t="s">
        <v>42</v>
      </c>
      <c r="D171" s="63">
        <v>45348.729166666664</v>
      </c>
      <c r="E171" s="63">
        <v>45348.752569444441</v>
      </c>
      <c r="F171" s="90">
        <f>StudyLog[[#This Row],[END]]-StudyLog[[#This Row],[START]]-(StudyLog[[#This Row],[PAUSED]]/(24*60))</f>
        <v>2.3402777776937E-2</v>
      </c>
      <c r="G171" s="71">
        <v>0</v>
      </c>
      <c r="H171" s="85">
        <v>3</v>
      </c>
      <c r="I171" s="71">
        <v>30</v>
      </c>
      <c r="J171" s="120">
        <v>2</v>
      </c>
      <c r="K171" s="27">
        <v>1</v>
      </c>
      <c r="L171" s="29">
        <f>StudyLog[[#This Row],[DAY]]</f>
        <v>45348</v>
      </c>
    </row>
    <row r="172" spans="1:12" ht="48" x14ac:dyDescent="0.25">
      <c r="A172" s="44">
        <v>2</v>
      </c>
      <c r="B172" s="45">
        <v>45347</v>
      </c>
      <c r="C172" s="46" t="s">
        <v>41</v>
      </c>
      <c r="D172" s="47">
        <v>45347.740520833337</v>
      </c>
      <c r="E172" s="47">
        <v>45347.761759259258</v>
      </c>
      <c r="F172" s="93">
        <f>StudyLog[[#This Row],[END]]-StudyLog[[#This Row],[START]]-(StudyLog[[#This Row],[PAUSED]]/(24*60))</f>
        <v>2.1238425921183079E-2</v>
      </c>
      <c r="G172" s="72">
        <v>0</v>
      </c>
      <c r="H172" s="88">
        <v>2</v>
      </c>
      <c r="I172" s="72">
        <v>30</v>
      </c>
      <c r="J172" s="120">
        <v>2</v>
      </c>
      <c r="K172" s="27">
        <v>1</v>
      </c>
      <c r="L172" s="29">
        <f>StudyLog[[#This Row],[DAY]]</f>
        <v>45347</v>
      </c>
    </row>
    <row r="173" spans="1:12" ht="24" x14ac:dyDescent="0.25">
      <c r="A173" s="44">
        <v>1</v>
      </c>
      <c r="B173" s="45">
        <v>45345</v>
      </c>
      <c r="C173" s="48" t="s">
        <v>26</v>
      </c>
      <c r="D173" s="47">
        <v>45345.569444444445</v>
      </c>
      <c r="E173" s="47">
        <v>45345.583333333336</v>
      </c>
      <c r="F173" s="93">
        <f>StudyLog[[#This Row],[END]]-StudyLog[[#This Row],[START]]-(StudyLog[[#This Row],[PAUSED]]/(24*60))</f>
        <v>1.3888888890505768E-2</v>
      </c>
      <c r="G173" s="72">
        <v>0</v>
      </c>
      <c r="H173" s="89"/>
      <c r="I173" s="72">
        <v>20</v>
      </c>
      <c r="J173" s="120">
        <v>1</v>
      </c>
      <c r="K173" s="120">
        <v>2</v>
      </c>
      <c r="L173" s="30">
        <f>StudyLog[[#This Row],[DAY]]</f>
        <v>45345</v>
      </c>
    </row>
    <row r="174" spans="1:12" ht="24" x14ac:dyDescent="0.25">
      <c r="A174" s="44">
        <v>1</v>
      </c>
      <c r="B174" s="45">
        <v>45345</v>
      </c>
      <c r="C174" s="46" t="s">
        <v>25</v>
      </c>
      <c r="D174" s="47">
        <v>45345.541250000002</v>
      </c>
      <c r="E174" s="47">
        <v>45345.557210648149</v>
      </c>
      <c r="F174" s="93">
        <f>StudyLog[[#This Row],[END]]-StudyLog[[#This Row],[START]]-(StudyLog[[#This Row],[PAUSED]]/(24*60))</f>
        <v>1.5960648146574385E-2</v>
      </c>
      <c r="G174" s="72">
        <v>0</v>
      </c>
      <c r="H174" s="89"/>
      <c r="I174" s="72">
        <v>20</v>
      </c>
      <c r="J174" s="120">
        <v>2</v>
      </c>
      <c r="K174" s="120">
        <v>1</v>
      </c>
      <c r="L174" s="30">
        <f>StudyLog[[#This Row],[DAY]]</f>
        <v>45345</v>
      </c>
    </row>
    <row r="175" spans="1:12" ht="48" x14ac:dyDescent="0.25">
      <c r="A175" s="44">
        <v>1</v>
      </c>
      <c r="B175" s="45">
        <v>45345</v>
      </c>
      <c r="C175" s="49" t="s">
        <v>24</v>
      </c>
      <c r="D175" s="47">
        <v>45345.513182870367</v>
      </c>
      <c r="E175" s="47">
        <v>45345.538912037038</v>
      </c>
      <c r="F175" s="93">
        <f>StudyLog[[#This Row],[END]]-StudyLog[[#This Row],[START]]-(StudyLog[[#This Row],[PAUSED]]/(24*60))</f>
        <v>2.017361111567071E-2</v>
      </c>
      <c r="G175" s="72">
        <v>8</v>
      </c>
      <c r="H175" s="89"/>
      <c r="I175" s="72">
        <v>30</v>
      </c>
      <c r="J175" s="120">
        <v>4</v>
      </c>
      <c r="K175" s="120">
        <v>1</v>
      </c>
      <c r="L175" s="30">
        <f>StudyLog[[#This Row],[DAY]]</f>
        <v>45345</v>
      </c>
    </row>
    <row r="176" spans="1:12" ht="24" x14ac:dyDescent="0.25">
      <c r="A176" s="44">
        <v>1</v>
      </c>
      <c r="B176" s="45">
        <v>45345</v>
      </c>
      <c r="C176" s="50" t="s">
        <v>19</v>
      </c>
      <c r="D176" s="47">
        <v>45345.459837962961</v>
      </c>
      <c r="E176" s="47">
        <v>45345.482129629629</v>
      </c>
      <c r="F176" s="93">
        <f>StudyLog[[#This Row],[END]]-StudyLog[[#This Row],[START]]-(StudyLog[[#This Row],[PAUSED]]/(24*60))</f>
        <v>2.0902777779135958E-2</v>
      </c>
      <c r="G176" s="72">
        <v>2</v>
      </c>
      <c r="H176" s="89"/>
      <c r="I176" s="72">
        <v>30</v>
      </c>
      <c r="J176" s="27">
        <v>3</v>
      </c>
      <c r="K176" s="27">
        <v>1</v>
      </c>
      <c r="L176" s="30">
        <f>StudyLog[[#This Row],[DAY]]</f>
        <v>45345</v>
      </c>
    </row>
    <row r="177" spans="1:12" ht="24" x14ac:dyDescent="0.25">
      <c r="A177" s="44">
        <v>1</v>
      </c>
      <c r="B177" s="45">
        <v>45345</v>
      </c>
      <c r="C177" s="46" t="s">
        <v>18</v>
      </c>
      <c r="D177" s="47">
        <v>45345.431400462963</v>
      </c>
      <c r="E177" s="47">
        <v>45345.452233796299</v>
      </c>
      <c r="F177" s="93">
        <f>StudyLog[[#This Row],[END]]-StudyLog[[#This Row],[START]]-(StudyLog[[#This Row],[PAUSED]]/(24*60))</f>
        <v>2.0833333335758653E-2</v>
      </c>
      <c r="G177" s="72">
        <v>0</v>
      </c>
      <c r="H177" s="89"/>
      <c r="I177" s="72">
        <v>30</v>
      </c>
      <c r="J177" s="27">
        <v>2</v>
      </c>
      <c r="K177" s="27">
        <v>1</v>
      </c>
      <c r="L177" s="30">
        <f>StudyLog[[#This Row],[DAY]]</f>
        <v>45345</v>
      </c>
    </row>
    <row r="178" spans="1:12" ht="24" x14ac:dyDescent="0.25">
      <c r="A178" s="44">
        <v>1</v>
      </c>
      <c r="B178" s="45">
        <v>45344</v>
      </c>
      <c r="C178" s="48" t="s">
        <v>16</v>
      </c>
      <c r="D178" s="47">
        <v>45344.813402777778</v>
      </c>
      <c r="E178" s="47">
        <v>45344.861805555556</v>
      </c>
      <c r="F178" s="93">
        <f>StudyLog[[#This Row],[END]]-StudyLog[[#This Row],[START]]-(StudyLog[[#This Row],[PAUSED]]/(24*60))</f>
        <v>4.8402777778392192E-2</v>
      </c>
      <c r="G178" s="72">
        <v>0</v>
      </c>
      <c r="H178" s="89"/>
      <c r="I178" s="72">
        <v>30</v>
      </c>
      <c r="J178" s="27">
        <v>1</v>
      </c>
      <c r="K178" s="27">
        <v>1</v>
      </c>
      <c r="L178" s="30">
        <f>StudyLog[[#This Row],[DAY]]</f>
        <v>45344</v>
      </c>
    </row>
    <row r="179" spans="1:12" ht="24" x14ac:dyDescent="0.25">
      <c r="A179" s="44">
        <v>1</v>
      </c>
      <c r="B179" s="45">
        <v>45344</v>
      </c>
      <c r="C179" s="51" t="s">
        <v>15</v>
      </c>
      <c r="D179" s="47">
        <v>45344.769884259258</v>
      </c>
      <c r="E179" s="47">
        <v>45344.790277777778</v>
      </c>
      <c r="F179" s="93">
        <f>StudyLog[[#This Row],[END]]-StudyLog[[#This Row],[START]]-(StudyLog[[#This Row],[PAUSED]]/(24*60))</f>
        <v>2.0393518519995268E-2</v>
      </c>
      <c r="G179" s="72">
        <v>0</v>
      </c>
      <c r="H179" s="89"/>
      <c r="I179" s="72">
        <v>30</v>
      </c>
      <c r="J179" s="27">
        <v>2</v>
      </c>
      <c r="K179" s="27">
        <v>1</v>
      </c>
      <c r="L179" s="30">
        <f>StudyLog[[#This Row],[DAY]]</f>
        <v>45344</v>
      </c>
    </row>
    <row r="180" spans="1:12" ht="24" x14ac:dyDescent="0.25">
      <c r="A180" s="44">
        <v>1</v>
      </c>
      <c r="B180" s="52">
        <v>45344</v>
      </c>
      <c r="C180" s="48" t="s">
        <v>14</v>
      </c>
      <c r="D180" s="47">
        <v>45344.615706018521</v>
      </c>
      <c r="E180" s="47">
        <v>45344.653993055559</v>
      </c>
      <c r="F180" s="93">
        <f>StudyLog[[#This Row],[END]]-StudyLog[[#This Row],[START]]-(StudyLog[[#This Row],[PAUSED]]/(24*60))</f>
        <v>3.1342592593217783E-2</v>
      </c>
      <c r="G180" s="72">
        <v>10</v>
      </c>
      <c r="H180" s="89"/>
      <c r="I180" s="72">
        <v>30</v>
      </c>
      <c r="J180" s="27">
        <v>1</v>
      </c>
      <c r="K180" s="27">
        <v>1</v>
      </c>
      <c r="L180" s="30">
        <f>StudyLog[[#This Row],[DAY]]</f>
        <v>45344</v>
      </c>
    </row>
    <row r="181" spans="1:12" ht="72" x14ac:dyDescent="0.25">
      <c r="A181" s="44">
        <v>1</v>
      </c>
      <c r="B181" s="45">
        <v>45344</v>
      </c>
      <c r="C181" s="50" t="s">
        <v>13</v>
      </c>
      <c r="D181" s="47">
        <v>45344.583483796298</v>
      </c>
      <c r="E181" s="47">
        <v>45344.604317129626</v>
      </c>
      <c r="F181" s="93">
        <f>StudyLog[[#This Row],[END]]-StudyLog[[#This Row],[START]]-(StudyLog[[#This Row],[PAUSED]]/(24*60))</f>
        <v>2.0833333328482695E-2</v>
      </c>
      <c r="G181" s="72">
        <v>0</v>
      </c>
      <c r="H181" s="89"/>
      <c r="I181" s="72">
        <v>30</v>
      </c>
      <c r="J181" s="27">
        <v>3</v>
      </c>
      <c r="K181" s="27">
        <v>1</v>
      </c>
      <c r="L181" s="30">
        <f>StudyLog[[#This Row],[DAY]]</f>
        <v>45344</v>
      </c>
    </row>
    <row r="182" spans="1:12" ht="24" x14ac:dyDescent="0.25">
      <c r="A182" s="44">
        <v>1</v>
      </c>
      <c r="B182" s="52">
        <v>45344</v>
      </c>
      <c r="C182" s="51" t="s">
        <v>7</v>
      </c>
      <c r="D182" s="47">
        <v>45344.529537037037</v>
      </c>
      <c r="E182" s="47">
        <v>45344.550046296295</v>
      </c>
      <c r="F182" s="93">
        <f>StudyLog[[#This Row],[END]]-StudyLog[[#This Row],[START]]-(StudyLog[[#This Row],[PAUSED]]/(24*60))</f>
        <v>2.0509259258687962E-2</v>
      </c>
      <c r="G182" s="72">
        <v>0</v>
      </c>
      <c r="H182" s="89"/>
      <c r="I182" s="72">
        <v>30</v>
      </c>
      <c r="J182" s="27">
        <v>2</v>
      </c>
      <c r="K182" s="27">
        <v>1</v>
      </c>
      <c r="L182" s="30">
        <f>StudyLog[[#This Row],[DAY]]</f>
        <v>45344</v>
      </c>
    </row>
    <row r="183" spans="1:12" ht="24" x14ac:dyDescent="0.25">
      <c r="A183" s="44">
        <v>1</v>
      </c>
      <c r="B183" s="52">
        <v>45344</v>
      </c>
      <c r="C183" s="53" t="s">
        <v>8</v>
      </c>
      <c r="D183" s="47">
        <v>45344.453668981485</v>
      </c>
      <c r="E183" s="47">
        <v>45344.492905092593</v>
      </c>
      <c r="F183" s="93">
        <f>StudyLog[[#This Row],[END]]-StudyLog[[#This Row],[START]]-(StudyLog[[#This Row],[PAUSED]]/(24*60))</f>
        <v>2.8819444441372376E-2</v>
      </c>
      <c r="G183" s="72">
        <v>15</v>
      </c>
      <c r="H183" s="89"/>
      <c r="I183" s="72">
        <v>30</v>
      </c>
      <c r="J183" s="27">
        <v>4</v>
      </c>
      <c r="K183" s="27">
        <v>1</v>
      </c>
      <c r="L183" s="30">
        <f>StudyLog[[#This Row],[DAY]]</f>
        <v>45344</v>
      </c>
    </row>
    <row r="184" spans="1:12" ht="24" x14ac:dyDescent="0.25">
      <c r="A184" s="44">
        <v>1</v>
      </c>
      <c r="B184" s="52">
        <v>45344</v>
      </c>
      <c r="C184" s="48" t="s">
        <v>9</v>
      </c>
      <c r="D184" s="47">
        <v>45344.42664351852</v>
      </c>
      <c r="E184" s="47">
        <v>45344.447476851848</v>
      </c>
      <c r="F184" s="93">
        <f>StudyLog[[#This Row],[END]]-StudyLog[[#This Row],[START]]-(StudyLog[[#This Row],[PAUSED]]/(24*60))</f>
        <v>2.0833333328482695E-2</v>
      </c>
      <c r="G184" s="72">
        <v>0</v>
      </c>
      <c r="H184" s="89"/>
      <c r="I184" s="72">
        <v>30</v>
      </c>
      <c r="J184" s="27">
        <v>1</v>
      </c>
      <c r="K184" s="27">
        <v>1</v>
      </c>
      <c r="L184" s="30">
        <f>StudyLog[[#This Row],[DAY]]</f>
        <v>45344</v>
      </c>
    </row>
    <row r="185" spans="1:12" ht="24" x14ac:dyDescent="0.25">
      <c r="A185" s="44">
        <v>1</v>
      </c>
      <c r="B185" s="52">
        <v>45344</v>
      </c>
      <c r="C185" s="51" t="s">
        <v>7</v>
      </c>
      <c r="D185" s="47">
        <v>45344.402129629627</v>
      </c>
      <c r="E185" s="47">
        <v>45344.422962962963</v>
      </c>
      <c r="F185" s="93">
        <f>StudyLog[[#This Row],[END]]-StudyLog[[#This Row],[START]]-(StudyLog[[#This Row],[PAUSED]]/(24*60))</f>
        <v>2.0833333335758653E-2</v>
      </c>
      <c r="G185" s="72">
        <v>0</v>
      </c>
      <c r="H185" s="89"/>
      <c r="I185" s="72">
        <v>30</v>
      </c>
      <c r="J185" s="27">
        <v>2</v>
      </c>
      <c r="K185" s="27">
        <v>1</v>
      </c>
      <c r="L185" s="30">
        <f>StudyLog[[#This Row],[DAY]]</f>
        <v>45344</v>
      </c>
    </row>
    <row r="186" spans="1:12" ht="24" x14ac:dyDescent="0.25">
      <c r="A186" s="44">
        <v>1</v>
      </c>
      <c r="B186" s="52">
        <v>45343</v>
      </c>
      <c r="C186" s="50" t="s">
        <v>5</v>
      </c>
      <c r="D186" s="47">
        <v>45343.658043981479</v>
      </c>
      <c r="E186" s="47">
        <v>45343.680509259262</v>
      </c>
      <c r="F186" s="93">
        <f>StudyLog[[#This Row],[END]]-StudyLog[[#This Row],[START]]-(StudyLog[[#This Row],[PAUSED]]/(24*60))</f>
        <v>1.5520833338895399E-2</v>
      </c>
      <c r="G186" s="72">
        <v>10</v>
      </c>
      <c r="H186" s="89"/>
      <c r="I186" s="72">
        <v>30</v>
      </c>
      <c r="J186" s="27">
        <v>3</v>
      </c>
      <c r="K186" s="27">
        <v>1</v>
      </c>
      <c r="L186" s="30">
        <f>StudyLog[[#This Row],[DAY]]</f>
        <v>45343</v>
      </c>
    </row>
    <row r="187" spans="1:12" ht="48" x14ac:dyDescent="0.25">
      <c r="A187" s="44">
        <v>1</v>
      </c>
      <c r="B187" s="52">
        <v>45343</v>
      </c>
      <c r="C187" s="51" t="s">
        <v>4</v>
      </c>
      <c r="D187" s="47">
        <v>45343.608842592592</v>
      </c>
      <c r="E187" s="47">
        <v>45343.641099537039</v>
      </c>
      <c r="F187" s="93">
        <f>StudyLog[[#This Row],[END]]-StudyLog[[#This Row],[START]]-(StudyLog[[#This Row],[PAUSED]]/(24*60))</f>
        <v>2.531250000255467E-2</v>
      </c>
      <c r="G187" s="72">
        <v>10</v>
      </c>
      <c r="H187" s="89"/>
      <c r="I187" s="72">
        <v>30</v>
      </c>
      <c r="J187" s="27">
        <v>2</v>
      </c>
      <c r="K187" s="27">
        <v>1</v>
      </c>
      <c r="L187" s="30">
        <f>StudyLog[[#This Row],[DAY]]</f>
        <v>45343</v>
      </c>
    </row>
    <row r="188" spans="1:12" ht="48" x14ac:dyDescent="0.25">
      <c r="A188" s="44">
        <v>1</v>
      </c>
      <c r="B188" s="52">
        <v>45343</v>
      </c>
      <c r="C188" s="48" t="s">
        <v>3</v>
      </c>
      <c r="D188" s="47">
        <v>45343.501793981479</v>
      </c>
      <c r="E188" s="47">
        <v>45343.530243055553</v>
      </c>
      <c r="F188" s="93">
        <f>StudyLog[[#This Row],[END]]-StudyLog[[#This Row],[START]]-(StudyLog[[#This Row],[PAUSED]]/(24*60))</f>
        <v>2.8449074074160308E-2</v>
      </c>
      <c r="G188" s="72">
        <v>0</v>
      </c>
      <c r="H188" s="89"/>
      <c r="I188" s="72">
        <v>30</v>
      </c>
      <c r="J188" s="27">
        <v>1</v>
      </c>
      <c r="K188" s="27">
        <v>1</v>
      </c>
      <c r="L188" s="30">
        <f>StudyLog[[#This Row],[DAY]]</f>
        <v>45343</v>
      </c>
    </row>
    <row r="189" spans="1:12" ht="24" x14ac:dyDescent="0.25">
      <c r="A189" s="44">
        <v>1</v>
      </c>
      <c r="B189" s="52">
        <v>45343</v>
      </c>
      <c r="C189" s="48" t="s">
        <v>2</v>
      </c>
      <c r="D189" s="47">
        <v>45343.454189814816</v>
      </c>
      <c r="E189" s="47">
        <v>45343.475694444445</v>
      </c>
      <c r="F189" s="93">
        <f>StudyLog[[#This Row],[END]]-StudyLog[[#This Row],[START]]-(StudyLog[[#This Row],[PAUSED]]/(24*60))</f>
        <v>2.1504629628907423E-2</v>
      </c>
      <c r="G189" s="72">
        <v>0</v>
      </c>
      <c r="H189" s="89"/>
      <c r="I189" s="72">
        <v>30</v>
      </c>
      <c r="J189" s="27">
        <v>1</v>
      </c>
      <c r="K189" s="27">
        <v>1</v>
      </c>
      <c r="L189" s="30">
        <f>StudyLog[[#This Row],[DAY]]</f>
        <v>45343</v>
      </c>
    </row>
    <row r="190" spans="1:12" ht="24" x14ac:dyDescent="0.25">
      <c r="A190" s="44">
        <v>1</v>
      </c>
      <c r="B190" s="52">
        <v>45343</v>
      </c>
      <c r="C190" s="50" t="s">
        <v>1</v>
      </c>
      <c r="D190" s="47">
        <v>45343.42083333333</v>
      </c>
      <c r="E190" s="47">
        <v>45343.441666666666</v>
      </c>
      <c r="F190" s="93">
        <f>StudyLog[[#This Row],[END]]-StudyLog[[#This Row],[START]]-(StudyLog[[#This Row],[PAUSED]]/(24*60))</f>
        <v>2.0833333335758653E-2</v>
      </c>
      <c r="G190" s="72">
        <v>0</v>
      </c>
      <c r="H190" s="89"/>
      <c r="I190" s="72">
        <v>30</v>
      </c>
      <c r="J190" s="27">
        <v>3</v>
      </c>
      <c r="K190" s="27">
        <v>1</v>
      </c>
      <c r="L190" s="30">
        <f>StudyLog[[#This Row],[DAY]]</f>
        <v>45343</v>
      </c>
    </row>
    <row r="191" spans="1:12" ht="24" x14ac:dyDescent="0.25">
      <c r="A191" s="44">
        <v>1</v>
      </c>
      <c r="B191" s="52">
        <v>45343</v>
      </c>
      <c r="C191" s="51" t="s">
        <v>0</v>
      </c>
      <c r="D191" s="47">
        <v>45343.372916666667</v>
      </c>
      <c r="E191" s="47">
        <v>45343.413194444445</v>
      </c>
      <c r="F191" s="93">
        <f>StudyLog[[#This Row],[END]]-StudyLog[[#This Row],[START]]-(StudyLog[[#This Row],[PAUSED]]/(24*60))</f>
        <v>3.3333333333656706E-2</v>
      </c>
      <c r="G191" s="72">
        <v>10</v>
      </c>
      <c r="H191" s="89"/>
      <c r="I191" s="72">
        <v>30</v>
      </c>
      <c r="J191" s="27">
        <v>2</v>
      </c>
      <c r="K191" s="27">
        <v>1</v>
      </c>
      <c r="L191" s="30">
        <f>StudyLog[[#This Row],[DAY]]</f>
        <v>45343</v>
      </c>
    </row>
    <row r="192" spans="1:12" x14ac:dyDescent="0.2">
      <c r="A192" s="6"/>
      <c r="B192" s="7"/>
      <c r="C192" s="7"/>
      <c r="D192" s="7"/>
      <c r="E192" s="7"/>
      <c r="F192" s="7"/>
      <c r="I192" s="2"/>
      <c r="J192" s="2"/>
    </row>
    <row r="193" spans="1:10" x14ac:dyDescent="0.2">
      <c r="A193" s="1"/>
      <c r="I193" s="2"/>
      <c r="J193" s="2"/>
    </row>
    <row r="194" spans="1:10" x14ac:dyDescent="0.2">
      <c r="A194" s="1"/>
      <c r="I194" s="2"/>
      <c r="J194" s="2"/>
    </row>
    <row r="195" spans="1:10" x14ac:dyDescent="0.2">
      <c r="A195" s="1"/>
      <c r="I195" s="2"/>
      <c r="J195" s="2"/>
    </row>
    <row r="196" spans="1:10" x14ac:dyDescent="0.2">
      <c r="A196" s="1"/>
      <c r="I196" s="2"/>
      <c r="J196" s="2"/>
    </row>
    <row r="197" spans="1:10" x14ac:dyDescent="0.2">
      <c r="A197" s="1"/>
      <c r="I197" s="2"/>
      <c r="J197" s="2"/>
    </row>
    <row r="198" spans="1:10" x14ac:dyDescent="0.2">
      <c r="A198" s="1"/>
      <c r="I198" s="2"/>
      <c r="J198" s="2"/>
    </row>
    <row r="199" spans="1:10" x14ac:dyDescent="0.2">
      <c r="A199" s="1"/>
      <c r="I199" s="2"/>
      <c r="J199" s="2"/>
    </row>
    <row r="200" spans="1:10" x14ac:dyDescent="0.2">
      <c r="A200" s="1"/>
      <c r="I200" s="2"/>
      <c r="J200" s="2"/>
    </row>
    <row r="201" spans="1:10" x14ac:dyDescent="0.2">
      <c r="A201" s="1"/>
      <c r="I201" s="2"/>
      <c r="J201" s="2"/>
    </row>
    <row r="202" spans="1:10" x14ac:dyDescent="0.2">
      <c r="A202" s="1"/>
      <c r="I202" s="2"/>
      <c r="J202" s="2"/>
    </row>
    <row r="203" spans="1:10" x14ac:dyDescent="0.2">
      <c r="A203" s="1"/>
      <c r="I203" s="2"/>
      <c r="J203" s="2"/>
    </row>
    <row r="204" spans="1:10" x14ac:dyDescent="0.2">
      <c r="A204" s="1"/>
      <c r="I204" s="2"/>
      <c r="J204" s="2"/>
    </row>
    <row r="205" spans="1:10" x14ac:dyDescent="0.2">
      <c r="A205" s="1"/>
      <c r="I205" s="2"/>
      <c r="J205" s="2"/>
    </row>
    <row r="206" spans="1:10" x14ac:dyDescent="0.2">
      <c r="A206" s="1"/>
      <c r="I206" s="2"/>
      <c r="J206" s="2"/>
    </row>
    <row r="207" spans="1:10" x14ac:dyDescent="0.2">
      <c r="A207" s="1"/>
      <c r="I207" s="2"/>
      <c r="J207" s="2"/>
    </row>
    <row r="208" spans="1:10" x14ac:dyDescent="0.2">
      <c r="A208" s="1"/>
      <c r="I208" s="2"/>
      <c r="J208" s="2"/>
    </row>
    <row r="209" spans="1:10" x14ac:dyDescent="0.2">
      <c r="A209" s="1"/>
      <c r="I209" s="2"/>
      <c r="J209" s="2"/>
    </row>
    <row r="210" spans="1:10" x14ac:dyDescent="0.2">
      <c r="A210" s="1"/>
      <c r="I210" s="2"/>
      <c r="J210" s="2"/>
    </row>
    <row r="211" spans="1:10" x14ac:dyDescent="0.2">
      <c r="A211" s="1"/>
      <c r="I211" s="2"/>
      <c r="J211" s="2"/>
    </row>
    <row r="212" spans="1:10" x14ac:dyDescent="0.2">
      <c r="A212" s="1"/>
    </row>
  </sheetData>
  <mergeCells count="2">
    <mergeCell ref="H1:H2"/>
    <mergeCell ref="A1:B7"/>
  </mergeCells>
  <phoneticPr fontId="1" type="noConversion"/>
  <conditionalFormatting sqref="I1:I6">
    <cfRule type="colorScale" priority="9">
      <colorScale>
        <cfvo type="min"/>
        <cfvo type="max"/>
        <color theme="8" tint="0.79998168889431442"/>
        <color theme="8" tint="-0.249977111117893"/>
      </colorScale>
    </cfRule>
  </conditionalFormatting>
  <conditionalFormatting sqref="A9:L191">
    <cfRule type="expression" dxfId="39" priority="52">
      <formula>AND(INT(#REF!)=TODAY(), COLUMN()&lt;&gt;3,COLUMN()&lt;&gt;8)</formula>
    </cfRule>
    <cfRule type="expression" dxfId="38" priority="53">
      <formula>AND(INT($L9)=TODAY(), COLUMN()&lt;&gt;3,COLUMN()&lt;&gt;8)</formula>
    </cfRule>
    <cfRule type="expression" dxfId="37" priority="54">
      <formula>INT($L9)=TODAY()</formula>
    </cfRule>
  </conditionalFormatting>
  <dataValidations disablePrompts="1" count="1">
    <dataValidation type="list" showInputMessage="1" showErrorMessage="1" sqref="F3" xr:uid="{175AA985-63F3-BB42-B481-EBE5134E5423}">
      <formula1>PrevSessions</formula1>
    </dataValidation>
  </dataValidations>
  <pageMargins left="0.7" right="0.7" top="0.75" bottom="0.75" header="0.3" footer="0.3"/>
  <pageSetup scale="57" fitToHeight="0" orientation="landscape" horizontalDpi="0" verticalDpi="0"/>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 id="{E710484E-DC8C-694A-B79C-C067784309A1}">
            <xm:f>AND(ISEVEN(ROW()),INT($A9)=INT(SessionSheet!$A$1),COLUMN()&lt;&gt;3,COLUMN()&lt;&gt;8)</xm:f>
            <x14:dxf>
              <fill>
                <patternFill patternType="solid">
                  <fgColor theme="4" tint="0.59996337778862885"/>
                  <bgColor theme="5" tint="0.39994506668294322"/>
                </patternFill>
              </fill>
            </x14:dxf>
          </x14:cfRule>
          <x14:cfRule type="expression" priority="46" id="{54A681DA-CF72-6F4F-95AD-C81CAE0887CC}">
            <xm:f>AND(ISODD(ROW()),INT($A9)=INT(SessionSheet!$A$1),COLUMN()&lt;&gt;3,COLUMN()&lt;&gt;8)</xm:f>
            <x14:dxf>
              <fill>
                <patternFill patternType="solid">
                  <fgColor theme="4" tint="0.59996337778862885"/>
                  <bgColor theme="5" tint="0.59996337778862885"/>
                </patternFill>
              </fill>
            </x14:dxf>
          </x14:cfRule>
          <xm:sqref>A9:L191</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showInputMessage="1" showErrorMessage="1" xr:uid="{B8F88081-F680-324A-A5F5-D0B9985C7097}">
          <x14:formula1>
            <xm:f>SessionSheet!$E$2:$E$14</xm:f>
          </x14:formula1>
          <xm:sqref>E3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FC120-5561-DF4D-811B-2FC70DD13575}">
  <sheetPr codeName="Sheet3"/>
  <dimension ref="A1:I16"/>
  <sheetViews>
    <sheetView workbookViewId="0">
      <selection activeCell="B16" sqref="B16"/>
    </sheetView>
  </sheetViews>
  <sheetFormatPr baseColWidth="10" defaultRowHeight="16" x14ac:dyDescent="0.2"/>
  <cols>
    <col min="1" max="1" width="16.28515625" bestFit="1" customWidth="1"/>
    <col min="2" max="2" width="26.28515625" customWidth="1"/>
    <col min="3" max="3" width="36.28515625" customWidth="1"/>
    <col min="4" max="4" width="38.140625" customWidth="1"/>
    <col min="5" max="5" width="24.28515625" bestFit="1" customWidth="1"/>
  </cols>
  <sheetData>
    <row r="1" spans="1:9" ht="22" x14ac:dyDescent="0.2">
      <c r="A1" s="31">
        <f>ROWS(Sessions[])</f>
        <v>15</v>
      </c>
      <c r="B1" s="19" t="s">
        <v>35</v>
      </c>
      <c r="C1" s="19" t="s">
        <v>36</v>
      </c>
      <c r="D1" s="19" t="s">
        <v>37</v>
      </c>
      <c r="E1" t="s">
        <v>39</v>
      </c>
      <c r="G1" s="19"/>
      <c r="H1" s="19"/>
      <c r="I1" s="19"/>
    </row>
    <row r="2" spans="1:9" ht="21" x14ac:dyDescent="0.2">
      <c r="B2" s="20">
        <f t="shared" ref="B2:B7" si="0">ROW()-1</f>
        <v>1</v>
      </c>
      <c r="C2" s="129">
        <v>45343</v>
      </c>
      <c r="D2" s="129">
        <v>45345</v>
      </c>
      <c r="E2" s="22"/>
      <c r="G2" s="20"/>
      <c r="H2" s="21"/>
      <c r="I2" s="21"/>
    </row>
    <row r="3" spans="1:9" ht="21" x14ac:dyDescent="0.2">
      <c r="B3" s="20">
        <f t="shared" si="0"/>
        <v>2</v>
      </c>
      <c r="C3" s="129">
        <v>45346</v>
      </c>
      <c r="D3" s="129">
        <v>45349</v>
      </c>
      <c r="E3" s="22" cm="1">
        <f t="array" ref="E3">INDEX(Sessions[Start Date],ROWS(Sessions[]))</f>
        <v>45399</v>
      </c>
      <c r="G3" s="20"/>
      <c r="H3" s="21"/>
      <c r="I3" s="21"/>
    </row>
    <row r="4" spans="1:9" ht="21" x14ac:dyDescent="0.2">
      <c r="B4" s="20">
        <f t="shared" si="0"/>
        <v>3</v>
      </c>
      <c r="C4" s="129">
        <v>45350</v>
      </c>
      <c r="D4" s="129">
        <v>45353</v>
      </c>
      <c r="E4" s="22">
        <f>E3+1</f>
        <v>45400</v>
      </c>
    </row>
    <row r="5" spans="1:9" ht="21" x14ac:dyDescent="0.2">
      <c r="B5" s="20">
        <f t="shared" si="0"/>
        <v>4</v>
      </c>
      <c r="C5" s="129">
        <v>45354</v>
      </c>
      <c r="D5" s="129">
        <v>45356</v>
      </c>
      <c r="E5" s="22">
        <f>E4+1</f>
        <v>45401</v>
      </c>
    </row>
    <row r="6" spans="1:9" ht="21" x14ac:dyDescent="0.2">
      <c r="B6" s="20">
        <f t="shared" si="0"/>
        <v>5</v>
      </c>
      <c r="C6" s="129">
        <v>45357</v>
      </c>
      <c r="D6" s="129">
        <v>45359</v>
      </c>
      <c r="E6" s="22">
        <f t="shared" ref="E6:E14" si="1">E5+1</f>
        <v>45402</v>
      </c>
    </row>
    <row r="7" spans="1:9" ht="21" x14ac:dyDescent="0.2">
      <c r="B7" s="20">
        <f t="shared" si="0"/>
        <v>6</v>
      </c>
      <c r="C7" s="129">
        <v>45360</v>
      </c>
      <c r="D7" s="129">
        <v>45363</v>
      </c>
      <c r="E7" s="22">
        <f t="shared" si="1"/>
        <v>45403</v>
      </c>
    </row>
    <row r="8" spans="1:9" ht="21" x14ac:dyDescent="0.2">
      <c r="B8" s="20">
        <f t="shared" ref="B8:B13" si="2">ROW()-1</f>
        <v>7</v>
      </c>
      <c r="C8" s="129">
        <v>45364</v>
      </c>
      <c r="D8" s="129">
        <v>45366</v>
      </c>
      <c r="E8" s="22">
        <f t="shared" si="1"/>
        <v>45404</v>
      </c>
    </row>
    <row r="9" spans="1:9" ht="21" x14ac:dyDescent="0.2">
      <c r="B9" s="20">
        <f t="shared" si="2"/>
        <v>8</v>
      </c>
      <c r="C9" s="129">
        <v>45367</v>
      </c>
      <c r="D9" s="129">
        <v>45370</v>
      </c>
      <c r="E9" s="22">
        <f t="shared" si="1"/>
        <v>45405</v>
      </c>
    </row>
    <row r="10" spans="1:9" ht="21" x14ac:dyDescent="0.2">
      <c r="B10" s="20">
        <f t="shared" si="2"/>
        <v>9</v>
      </c>
      <c r="C10" s="129">
        <v>45371</v>
      </c>
      <c r="D10" s="129">
        <v>45373</v>
      </c>
      <c r="E10" s="22">
        <f t="shared" si="1"/>
        <v>45406</v>
      </c>
    </row>
    <row r="11" spans="1:9" ht="21" x14ac:dyDescent="0.2">
      <c r="B11" s="20">
        <f t="shared" si="2"/>
        <v>10</v>
      </c>
      <c r="C11" s="129">
        <v>45374</v>
      </c>
      <c r="D11" s="129">
        <v>45377</v>
      </c>
      <c r="E11" s="22">
        <f t="shared" si="1"/>
        <v>45407</v>
      </c>
    </row>
    <row r="12" spans="1:9" ht="21" x14ac:dyDescent="0.2">
      <c r="B12" s="20">
        <f t="shared" si="2"/>
        <v>11</v>
      </c>
      <c r="C12" s="129">
        <v>45378</v>
      </c>
      <c r="D12" s="129">
        <v>45382</v>
      </c>
      <c r="E12" s="22">
        <f t="shared" si="1"/>
        <v>45408</v>
      </c>
    </row>
    <row r="13" spans="1:9" ht="21" x14ac:dyDescent="0.2">
      <c r="B13" s="20">
        <f t="shared" si="2"/>
        <v>12</v>
      </c>
      <c r="C13" s="129">
        <v>45383</v>
      </c>
      <c r="D13" s="129">
        <v>45384</v>
      </c>
      <c r="E13" s="22">
        <f t="shared" si="1"/>
        <v>45409</v>
      </c>
    </row>
    <row r="14" spans="1:9" ht="21" x14ac:dyDescent="0.2">
      <c r="B14" s="20">
        <f>ROW()-1</f>
        <v>13</v>
      </c>
      <c r="C14" s="129">
        <v>45385</v>
      </c>
      <c r="D14" s="129">
        <v>45386</v>
      </c>
      <c r="E14" s="22">
        <f t="shared" si="1"/>
        <v>45410</v>
      </c>
    </row>
    <row r="15" spans="1:9" ht="21" x14ac:dyDescent="0.2">
      <c r="B15" s="20">
        <f>ROW()-1</f>
        <v>14</v>
      </c>
      <c r="C15" s="129">
        <v>45387</v>
      </c>
      <c r="D15" s="129">
        <v>45398</v>
      </c>
    </row>
    <row r="16" spans="1:9" ht="21" x14ac:dyDescent="0.2">
      <c r="B16" s="20">
        <f>ROW()-1</f>
        <v>15</v>
      </c>
      <c r="C16" s="129">
        <v>45399</v>
      </c>
      <c r="D16" s="129"/>
    </row>
  </sheetData>
  <conditionalFormatting sqref="D2 B2:B16">
    <cfRule type="expression" dxfId="17" priority="24" stopIfTrue="1">
      <formula>AND(INT($J9)=TODAY(), COLUMN()&lt;&gt;3,COLUMN()&lt;&gt;8)</formula>
    </cfRule>
    <cfRule type="expression" dxfId="16" priority="25">
      <formula>AND(INT($J9)=TODAY(), COLUMN()=2)</formula>
    </cfRule>
  </conditionalFormatting>
  <conditionalFormatting sqref="C3:D16">
    <cfRule type="expression" dxfId="15" priority="5" stopIfTrue="1">
      <formula>AND(INT($J8)=TODAY(), COLUMN()&lt;&gt;3,COLUMN()&lt;&gt;8)</formula>
    </cfRule>
    <cfRule type="expression" dxfId="14" priority="6">
      <formula>AND(INT($J8)=TODAY(), COLUMN()=2)</formula>
    </cfRule>
  </conditionalFormatting>
  <conditionalFormatting sqref="I2 G2:G3">
    <cfRule type="expression" dxfId="13" priority="3" stopIfTrue="1">
      <formula>AND(INT($J9)=TODAY(), COLUMN()&lt;&gt;3,COLUMN()&lt;&gt;8)</formula>
    </cfRule>
    <cfRule type="expression" dxfId="12" priority="4">
      <formula>AND(INT($J9)=TODAY(), COLUMN()=2)</formula>
    </cfRule>
  </conditionalFormatting>
  <conditionalFormatting sqref="H3:I3">
    <cfRule type="expression" dxfId="11" priority="1" stopIfTrue="1">
      <formula>AND(INT($J8)=TODAY(), COLUMN()&lt;&gt;3,COLUMN()&lt;&gt;8)</formula>
    </cfRule>
    <cfRule type="expression" dxfId="10" priority="2">
      <formula>AND(INT($J8)=TODAY(), COLUMN()=2)</formula>
    </cfRule>
  </conditionalFormatting>
  <dataValidations count="1">
    <dataValidation type="textLength" allowBlank="1" showInputMessage="1" showErrorMessage="1" sqref="E2" xr:uid="{95A63A07-DC4C-7C44-8912-2AD6AC8496AA}">
      <formula1>0</formula1>
      <formula2>0</formula2>
    </dataValidation>
  </dataValidations>
  <pageMargins left="0.7" right="0.7" top="0.75" bottom="0.75" header="0.3" footer="0.3"/>
  <pageSetup orientation="portrait" horizontalDpi="0" verticalDpi="0"/>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DE67E-6E22-034E-BBCA-378506E75C42}">
  <sheetPr codeName="Sheet2">
    <pageSetUpPr fitToPage="1"/>
  </sheetPr>
  <dimension ref="AO1:BD39"/>
  <sheetViews>
    <sheetView zoomScale="41" zoomScaleNormal="40" workbookViewId="0">
      <selection activeCell="AO47" sqref="AO47"/>
    </sheetView>
  </sheetViews>
  <sheetFormatPr baseColWidth="10" defaultRowHeight="16" x14ac:dyDescent="0.2"/>
  <cols>
    <col min="1" max="1" width="14.140625" bestFit="1" customWidth="1"/>
    <col min="2" max="2" width="13" bestFit="1" customWidth="1"/>
    <col min="3" max="3" width="12.42578125" bestFit="1" customWidth="1"/>
    <col min="4" max="4" width="10.140625" bestFit="1" customWidth="1"/>
    <col min="5" max="5" width="7" bestFit="1" customWidth="1"/>
    <col min="6" max="6" width="6.7109375" bestFit="1" customWidth="1"/>
    <col min="7" max="7" width="10.42578125" bestFit="1" customWidth="1"/>
    <col min="8" max="8" width="9.28515625" bestFit="1" customWidth="1"/>
    <col min="9" max="19" width="5.85546875" bestFit="1" customWidth="1"/>
    <col min="20" max="20" width="6" bestFit="1" customWidth="1"/>
    <col min="21" max="23" width="7" bestFit="1" customWidth="1"/>
    <col min="24" max="24" width="12.28515625" bestFit="1" customWidth="1"/>
    <col min="25" max="25" width="14.5703125" bestFit="1" customWidth="1"/>
    <col min="26" max="31" width="12" bestFit="1" customWidth="1"/>
    <col min="32" max="32" width="12.28515625" bestFit="1" customWidth="1"/>
    <col min="33" max="33" width="16.140625" bestFit="1" customWidth="1"/>
    <col min="34" max="34" width="12.28515625" bestFit="1" customWidth="1"/>
    <col min="35" max="35" width="12.42578125" bestFit="1" customWidth="1"/>
    <col min="36" max="36" width="12.140625" bestFit="1" customWidth="1"/>
    <col min="37" max="37" width="16" bestFit="1" customWidth="1"/>
    <col min="38" max="38" width="16.28515625" bestFit="1" customWidth="1"/>
    <col min="39" max="39" width="16.7109375" bestFit="1" customWidth="1"/>
    <col min="40" max="40" width="13.28515625" bestFit="1" customWidth="1"/>
    <col min="41" max="41" width="12.28515625" bestFit="1" customWidth="1"/>
    <col min="42" max="42" width="14.28515625" bestFit="1" customWidth="1"/>
    <col min="43" max="48" width="12" bestFit="1" customWidth="1"/>
    <col min="49" max="49" width="12.28515625" bestFit="1" customWidth="1"/>
    <col min="50" max="50" width="16.140625" bestFit="1" customWidth="1"/>
    <col min="51" max="51" width="12.28515625" bestFit="1" customWidth="1"/>
    <col min="52" max="52" width="12.42578125" bestFit="1" customWidth="1"/>
    <col min="53" max="53" width="12.28515625" bestFit="1" customWidth="1"/>
    <col min="54" max="54" width="16.140625" bestFit="1" customWidth="1"/>
    <col min="55" max="55" width="12.28515625" bestFit="1" customWidth="1"/>
    <col min="56" max="56" width="16.140625" bestFit="1" customWidth="1"/>
    <col min="57" max="84" width="5.85546875" bestFit="1" customWidth="1"/>
    <col min="85" max="85" width="9.140625" bestFit="1" customWidth="1"/>
  </cols>
  <sheetData>
    <row r="1" spans="41:56" x14ac:dyDescent="0.2">
      <c r="AO1" s="3" t="s">
        <v>177</v>
      </c>
      <c r="AP1" s="3" t="s">
        <v>176</v>
      </c>
      <c r="AW1" s="3" t="s">
        <v>10</v>
      </c>
      <c r="AX1" t="s">
        <v>218</v>
      </c>
      <c r="AY1" s="3" t="s">
        <v>10</v>
      </c>
      <c r="AZ1" t="s">
        <v>177</v>
      </c>
      <c r="BA1" s="3" t="s">
        <v>10</v>
      </c>
      <c r="BB1" t="s">
        <v>218</v>
      </c>
      <c r="BC1" s="3" t="s">
        <v>10</v>
      </c>
      <c r="BD1" t="s">
        <v>218</v>
      </c>
    </row>
    <row r="2" spans="41:56" x14ac:dyDescent="0.2">
      <c r="AO2" s="3" t="s">
        <v>10</v>
      </c>
      <c r="AP2" t="s">
        <v>179</v>
      </c>
      <c r="AQ2" t="s">
        <v>180</v>
      </c>
      <c r="AR2" t="s">
        <v>1</v>
      </c>
      <c r="AS2" t="s">
        <v>181</v>
      </c>
      <c r="AT2" t="s">
        <v>182</v>
      </c>
      <c r="AU2" t="s">
        <v>183</v>
      </c>
      <c r="AV2" t="s">
        <v>11</v>
      </c>
      <c r="AW2" s="127">
        <v>1</v>
      </c>
      <c r="AY2" s="2" t="s">
        <v>179</v>
      </c>
      <c r="AZ2" s="128">
        <v>1.6795949074074079</v>
      </c>
      <c r="BA2" s="2" t="s">
        <v>188</v>
      </c>
      <c r="BC2" s="127">
        <v>1</v>
      </c>
    </row>
    <row r="3" spans="41:56" x14ac:dyDescent="0.2">
      <c r="AO3" s="127">
        <v>1</v>
      </c>
      <c r="AP3" s="128">
        <v>0.16442129629629629</v>
      </c>
      <c r="AQ3" s="128">
        <v>0.15717592592592591</v>
      </c>
      <c r="AR3" s="128">
        <v>7.8090277777777772E-2</v>
      </c>
      <c r="AS3" s="128">
        <v>4.8993055555555554E-2</v>
      </c>
      <c r="AT3" s="128"/>
      <c r="AU3" s="128"/>
      <c r="AV3" s="128">
        <v>0.44868055555555553</v>
      </c>
      <c r="AW3" s="127">
        <v>2</v>
      </c>
      <c r="AX3">
        <v>2.1428571428571428</v>
      </c>
      <c r="AY3" s="2" t="s">
        <v>180</v>
      </c>
      <c r="AZ3" s="128">
        <v>1.1881134259259261</v>
      </c>
      <c r="BA3" s="2" t="s">
        <v>189</v>
      </c>
      <c r="BC3" s="127">
        <v>2</v>
      </c>
      <c r="BD3">
        <v>2.1428571428571428</v>
      </c>
    </row>
    <row r="4" spans="41:56" x14ac:dyDescent="0.2">
      <c r="AO4" s="131" t="s">
        <v>231</v>
      </c>
      <c r="AP4">
        <v>0.16442129629629629</v>
      </c>
      <c r="AQ4">
        <v>0.15717592592592591</v>
      </c>
      <c r="AR4">
        <v>7.8090277777777772E-2</v>
      </c>
      <c r="AS4">
        <v>4.8993055555555554E-2</v>
      </c>
      <c r="AV4">
        <v>0.44868055555555553</v>
      </c>
      <c r="AW4" s="127">
        <v>3</v>
      </c>
      <c r="AX4">
        <v>3.5</v>
      </c>
      <c r="AY4" s="2" t="s">
        <v>1</v>
      </c>
      <c r="AZ4" s="128">
        <v>1.109386574074074</v>
      </c>
      <c r="BA4" s="2" t="s">
        <v>190</v>
      </c>
      <c r="BC4" s="127">
        <v>3</v>
      </c>
      <c r="BD4">
        <v>3.5</v>
      </c>
    </row>
    <row r="5" spans="41:56" x14ac:dyDescent="0.2">
      <c r="AO5" s="127">
        <v>2</v>
      </c>
      <c r="AP5" s="128">
        <v>2.0833333333333332E-2</v>
      </c>
      <c r="AQ5" s="128">
        <v>4.4641203703703711E-2</v>
      </c>
      <c r="AR5" s="128">
        <v>9.6388888888888899E-2</v>
      </c>
      <c r="AS5" s="128"/>
      <c r="AT5" s="128"/>
      <c r="AU5" s="128"/>
      <c r="AV5" s="128">
        <v>0.16186342592592595</v>
      </c>
      <c r="AW5" s="127">
        <v>4</v>
      </c>
      <c r="AX5">
        <v>3.46875</v>
      </c>
      <c r="AY5" s="2" t="s">
        <v>181</v>
      </c>
      <c r="AZ5" s="128">
        <v>0.37986111111111115</v>
      </c>
      <c r="BA5" s="2" t="s">
        <v>191</v>
      </c>
      <c r="BB5">
        <v>2</v>
      </c>
      <c r="BC5" s="127">
        <v>4</v>
      </c>
      <c r="BD5">
        <v>3.46875</v>
      </c>
    </row>
    <row r="6" spans="41:56" x14ac:dyDescent="0.2">
      <c r="AO6" s="131" t="s">
        <v>231</v>
      </c>
      <c r="AP6">
        <v>2.0833333333333332E-2</v>
      </c>
      <c r="AQ6">
        <v>4.4641203703703711E-2</v>
      </c>
      <c r="AR6">
        <v>9.6388888888888899E-2</v>
      </c>
      <c r="AV6">
        <v>0.16186342592592595</v>
      </c>
      <c r="AW6" s="127">
        <v>5</v>
      </c>
      <c r="AX6">
        <v>3.6818181818181817</v>
      </c>
      <c r="AY6" s="2" t="s">
        <v>183</v>
      </c>
      <c r="AZ6" s="128">
        <v>0.24422453703703709</v>
      </c>
      <c r="BA6" s="2" t="s">
        <v>192</v>
      </c>
      <c r="BB6">
        <v>2</v>
      </c>
      <c r="BC6" s="127">
        <v>5</v>
      </c>
      <c r="BD6">
        <v>3.6818181818181817</v>
      </c>
    </row>
    <row r="7" spans="41:56" x14ac:dyDescent="0.2">
      <c r="AO7" s="127">
        <v>3</v>
      </c>
      <c r="AP7" s="128">
        <v>0.1582986111111111</v>
      </c>
      <c r="AQ7" s="128">
        <v>0.10122685185185186</v>
      </c>
      <c r="AR7" s="128">
        <v>0.13437500000000002</v>
      </c>
      <c r="AS7" s="128"/>
      <c r="AT7" s="128"/>
      <c r="AU7" s="128">
        <v>1.3888888888888888E-2</v>
      </c>
      <c r="AV7" s="128">
        <v>0.40778935185185189</v>
      </c>
      <c r="AW7" s="127">
        <v>6</v>
      </c>
      <c r="AX7">
        <v>3.6111111111111112</v>
      </c>
      <c r="AY7" s="2" t="s">
        <v>182</v>
      </c>
      <c r="AZ7" s="128">
        <v>0.13511574074074073</v>
      </c>
      <c r="BA7" s="2" t="s">
        <v>193</v>
      </c>
      <c r="BB7">
        <v>2.5</v>
      </c>
      <c r="BC7" s="127">
        <v>6</v>
      </c>
      <c r="BD7">
        <v>3.6111111111111112</v>
      </c>
    </row>
    <row r="8" spans="41:56" x14ac:dyDescent="0.2">
      <c r="AO8" s="131" t="s">
        <v>231</v>
      </c>
      <c r="AP8">
        <v>8.1909722222222231E-2</v>
      </c>
      <c r="AQ8">
        <v>0.10122685185185186</v>
      </c>
      <c r="AR8">
        <v>0.13437500000000002</v>
      </c>
      <c r="AU8">
        <v>1.3888888888888888E-2</v>
      </c>
      <c r="AV8">
        <v>0.33140046296296299</v>
      </c>
      <c r="AW8" s="127">
        <v>7</v>
      </c>
      <c r="AX8">
        <v>3.6578947368421053</v>
      </c>
      <c r="AY8" s="2" t="s">
        <v>11</v>
      </c>
      <c r="AZ8" s="128">
        <v>4.7362962962962971</v>
      </c>
      <c r="BA8" s="2" t="s">
        <v>194</v>
      </c>
      <c r="BB8">
        <v>3</v>
      </c>
      <c r="BC8" s="127">
        <v>7</v>
      </c>
      <c r="BD8">
        <v>3.6578947368421053</v>
      </c>
    </row>
    <row r="9" spans="41:56" x14ac:dyDescent="0.2">
      <c r="AO9" s="131" t="s">
        <v>232</v>
      </c>
      <c r="AP9">
        <v>7.6388888888888881E-2</v>
      </c>
      <c r="AV9">
        <v>7.6388888888888881E-2</v>
      </c>
      <c r="AW9" s="127">
        <v>8</v>
      </c>
      <c r="AX9">
        <v>3.4736842105263159</v>
      </c>
      <c r="AY9" s="5" t="s">
        <v>12</v>
      </c>
      <c r="AZ9" s="4">
        <f>((Study!G7*24)/((Study!G7*24)+(SUM(StudyLog[RATING])/60)))</f>
        <v>0.92324630670759955</v>
      </c>
      <c r="BA9" s="2" t="s">
        <v>195</v>
      </c>
      <c r="BB9">
        <v>3.5625</v>
      </c>
      <c r="BC9" s="127">
        <v>8</v>
      </c>
      <c r="BD9">
        <v>3.4736842105263159</v>
      </c>
    </row>
    <row r="10" spans="41:56" x14ac:dyDescent="0.2">
      <c r="AO10" s="127">
        <v>4</v>
      </c>
      <c r="AP10" s="128">
        <v>0.14930555555555555</v>
      </c>
      <c r="AQ10" s="128">
        <v>0.14305555555555555</v>
      </c>
      <c r="AR10" s="128">
        <v>0.1448726851851852</v>
      </c>
      <c r="AS10" s="128">
        <v>3.125E-2</v>
      </c>
      <c r="AT10" s="128"/>
      <c r="AU10" s="128">
        <v>3.125E-2</v>
      </c>
      <c r="AV10" s="128">
        <v>0.49973379629629627</v>
      </c>
      <c r="AW10" s="127">
        <v>9</v>
      </c>
      <c r="AX10">
        <v>4</v>
      </c>
      <c r="BA10" s="2" t="s">
        <v>196</v>
      </c>
      <c r="BB10">
        <v>3.6666666666666665</v>
      </c>
      <c r="BC10" s="127">
        <v>9</v>
      </c>
      <c r="BD10">
        <v>4</v>
      </c>
    </row>
    <row r="11" spans="41:56" x14ac:dyDescent="0.2">
      <c r="AO11" s="131" t="s">
        <v>232</v>
      </c>
      <c r="AP11">
        <v>0.14930555555555555</v>
      </c>
      <c r="AQ11">
        <v>0.14305555555555555</v>
      </c>
      <c r="AR11">
        <v>0.1448726851851852</v>
      </c>
      <c r="AS11">
        <v>3.125E-2</v>
      </c>
      <c r="AU11">
        <v>3.125E-2</v>
      </c>
      <c r="AV11">
        <v>0.49973379629629627</v>
      </c>
      <c r="AW11" s="127">
        <v>10</v>
      </c>
      <c r="AX11">
        <v>3.4166666666666665</v>
      </c>
      <c r="BA11" s="2" t="s">
        <v>197</v>
      </c>
      <c r="BB11">
        <v>3.2857142857142856</v>
      </c>
      <c r="BC11" s="127">
        <v>10</v>
      </c>
      <c r="BD11">
        <v>3.4166666666666665</v>
      </c>
    </row>
    <row r="12" spans="41:56" x14ac:dyDescent="0.2">
      <c r="AO12" s="127">
        <v>5</v>
      </c>
      <c r="AP12" s="128">
        <v>0.15179398148148149</v>
      </c>
      <c r="AQ12" s="128">
        <v>4.175925925925926E-2</v>
      </c>
      <c r="AR12" s="128">
        <v>6.3379629629629633E-2</v>
      </c>
      <c r="AS12" s="128">
        <v>1.6759259259259258E-2</v>
      </c>
      <c r="AT12" s="128">
        <v>1.1932870370370371E-2</v>
      </c>
      <c r="AU12" s="128"/>
      <c r="AV12" s="128">
        <v>0.28562500000000002</v>
      </c>
      <c r="AW12" s="127">
        <v>13</v>
      </c>
      <c r="AX12">
        <v>3.65625</v>
      </c>
      <c r="BA12" s="2" t="s">
        <v>198</v>
      </c>
      <c r="BB12">
        <v>3.4166666666666665</v>
      </c>
      <c r="BC12" s="127">
        <v>13</v>
      </c>
      <c r="BD12">
        <v>3.65625</v>
      </c>
    </row>
    <row r="13" spans="41:56" x14ac:dyDescent="0.2">
      <c r="AO13" s="131" t="s">
        <v>232</v>
      </c>
      <c r="AP13">
        <v>0.15179398148148149</v>
      </c>
      <c r="AQ13">
        <v>4.175925925925926E-2</v>
      </c>
      <c r="AR13">
        <v>6.3379629629629633E-2</v>
      </c>
      <c r="AS13">
        <v>1.6759259259259258E-2</v>
      </c>
      <c r="AT13">
        <v>1.1932870370370371E-2</v>
      </c>
      <c r="AV13">
        <v>0.28562500000000002</v>
      </c>
      <c r="AW13" s="127">
        <v>12</v>
      </c>
      <c r="AX13">
        <v>3.5</v>
      </c>
      <c r="BA13" s="2" t="s">
        <v>199</v>
      </c>
      <c r="BB13">
        <v>4</v>
      </c>
      <c r="BC13" s="127">
        <v>12</v>
      </c>
      <c r="BD13">
        <v>3.5</v>
      </c>
    </row>
    <row r="14" spans="41:56" x14ac:dyDescent="0.2">
      <c r="AO14" s="127">
        <v>6</v>
      </c>
      <c r="AP14" s="128">
        <v>7.7094907407407404E-2</v>
      </c>
      <c r="AQ14" s="128">
        <v>0.15694444444444444</v>
      </c>
      <c r="AR14" s="128">
        <v>0.10496527777777777</v>
      </c>
      <c r="AS14" s="128">
        <v>1.6423611111111111E-2</v>
      </c>
      <c r="AT14" s="128">
        <v>2.0856481481481479E-2</v>
      </c>
      <c r="AU14" s="128">
        <v>4.0277777777777773E-2</v>
      </c>
      <c r="AV14" s="128">
        <v>0.41656250000000006</v>
      </c>
      <c r="AW14" s="127">
        <v>11</v>
      </c>
      <c r="AX14">
        <v>2.5454545454545454</v>
      </c>
      <c r="BA14" s="2" t="s">
        <v>200</v>
      </c>
      <c r="BB14">
        <v>3.5</v>
      </c>
      <c r="BC14" s="127">
        <v>11</v>
      </c>
      <c r="BD14">
        <v>2.5454545454545454</v>
      </c>
    </row>
    <row r="15" spans="41:56" x14ac:dyDescent="0.2">
      <c r="AO15" s="131" t="s">
        <v>232</v>
      </c>
      <c r="AP15">
        <v>7.7094907407407404E-2</v>
      </c>
      <c r="AQ15">
        <v>0.15694444444444444</v>
      </c>
      <c r="AR15">
        <v>0.10496527777777777</v>
      </c>
      <c r="AS15">
        <v>1.6423611111111111E-2</v>
      </c>
      <c r="AT15">
        <v>2.0856481481481479E-2</v>
      </c>
      <c r="AU15">
        <v>4.0277777777777773E-2</v>
      </c>
      <c r="AV15">
        <v>0.41656250000000006</v>
      </c>
      <c r="AW15" s="127" t="s">
        <v>11</v>
      </c>
      <c r="AX15">
        <v>3.4785276073619631</v>
      </c>
      <c r="BA15" s="2" t="s">
        <v>201</v>
      </c>
      <c r="BB15">
        <v>3.25</v>
      </c>
      <c r="BC15" s="127" t="s">
        <v>11</v>
      </c>
      <c r="BD15">
        <v>3.4785276073619631</v>
      </c>
    </row>
    <row r="16" spans="41:56" x14ac:dyDescent="0.2">
      <c r="AO16" s="127">
        <v>7</v>
      </c>
      <c r="AP16" s="128">
        <v>0.17416666666666666</v>
      </c>
      <c r="AQ16" s="128">
        <v>7.1527777777777773E-2</v>
      </c>
      <c r="AR16" s="128">
        <v>4.8078703703703707E-2</v>
      </c>
      <c r="AS16" s="128">
        <v>1.3888888888888888E-2</v>
      </c>
      <c r="AT16" s="128"/>
      <c r="AU16" s="128">
        <v>3.4722222222222224E-2</v>
      </c>
      <c r="AV16" s="128">
        <v>0.34238425925925925</v>
      </c>
      <c r="BA16" s="2" t="s">
        <v>202</v>
      </c>
      <c r="BB16">
        <v>3.8571428571428572</v>
      </c>
    </row>
    <row r="17" spans="41:54" x14ac:dyDescent="0.2">
      <c r="AO17" s="131" t="s">
        <v>232</v>
      </c>
      <c r="AP17">
        <v>0.17416666666666666</v>
      </c>
      <c r="AQ17">
        <v>7.1527777777777773E-2</v>
      </c>
      <c r="AR17">
        <v>4.8078703703703707E-2</v>
      </c>
      <c r="AS17">
        <v>1.3888888888888888E-2</v>
      </c>
      <c r="AU17">
        <v>3.4722222222222224E-2</v>
      </c>
      <c r="AV17">
        <v>0.34238425925925925</v>
      </c>
      <c r="BA17" s="2" t="s">
        <v>203</v>
      </c>
      <c r="BB17">
        <v>3.6666666666666665</v>
      </c>
    </row>
    <row r="18" spans="41:54" x14ac:dyDescent="0.2">
      <c r="AO18" s="127">
        <v>8</v>
      </c>
      <c r="AP18" s="128">
        <v>0.17210648148148147</v>
      </c>
      <c r="AQ18" s="128">
        <v>6.3784722222222229E-2</v>
      </c>
      <c r="AR18" s="128">
        <v>0.17354166666666665</v>
      </c>
      <c r="AS18" s="128">
        <v>2.2326388888888885E-2</v>
      </c>
      <c r="AT18" s="128">
        <v>3.0011574074074076E-2</v>
      </c>
      <c r="AU18" s="128">
        <v>1.6666666666666666E-2</v>
      </c>
      <c r="AV18" s="128">
        <v>0.47843749999999996</v>
      </c>
      <c r="BA18" s="2" t="s">
        <v>204</v>
      </c>
      <c r="BB18">
        <v>3.1</v>
      </c>
    </row>
    <row r="19" spans="41:54" x14ac:dyDescent="0.2">
      <c r="AO19" s="131" t="s">
        <v>232</v>
      </c>
      <c r="AP19">
        <v>0.17210648148148147</v>
      </c>
      <c r="AQ19">
        <v>6.3784722222222229E-2</v>
      </c>
      <c r="AR19">
        <v>0.17354166666666665</v>
      </c>
      <c r="AS19">
        <v>2.2326388888888885E-2</v>
      </c>
      <c r="AT19">
        <v>3.0011574074074076E-2</v>
      </c>
      <c r="AU19">
        <v>1.6666666666666666E-2</v>
      </c>
      <c r="AV19">
        <v>0.47843749999999996</v>
      </c>
      <c r="BA19" s="2" t="s">
        <v>205</v>
      </c>
      <c r="BB19">
        <v>4.125</v>
      </c>
    </row>
    <row r="20" spans="41:54" x14ac:dyDescent="0.2">
      <c r="AO20" s="127">
        <v>9</v>
      </c>
      <c r="AP20" s="128">
        <v>0.17454861111111108</v>
      </c>
      <c r="AQ20" s="128">
        <v>8.6805555555555552E-2</v>
      </c>
      <c r="AR20" s="128">
        <v>6.6932870370370379E-2</v>
      </c>
      <c r="AS20" s="128">
        <v>3.5069444444444445E-2</v>
      </c>
      <c r="AT20" s="128"/>
      <c r="AU20" s="128">
        <v>2.4305555555555556E-2</v>
      </c>
      <c r="AV20" s="128">
        <v>0.38766203703703705</v>
      </c>
      <c r="BA20" s="2" t="s">
        <v>206</v>
      </c>
      <c r="BB20">
        <v>3.3333333333333335</v>
      </c>
    </row>
    <row r="21" spans="41:54" x14ac:dyDescent="0.2">
      <c r="AO21" s="131" t="s">
        <v>232</v>
      </c>
      <c r="AP21">
        <v>0.17454861111111108</v>
      </c>
      <c r="AQ21">
        <v>8.6805555555555552E-2</v>
      </c>
      <c r="AR21">
        <v>6.6932870370370379E-2</v>
      </c>
      <c r="AS21">
        <v>3.5069444444444445E-2</v>
      </c>
      <c r="AU21">
        <v>2.4305555555555556E-2</v>
      </c>
      <c r="AV21">
        <v>0.38766203703703705</v>
      </c>
      <c r="BA21" s="2" t="s">
        <v>207</v>
      </c>
      <c r="BB21">
        <v>3.5</v>
      </c>
    </row>
    <row r="22" spans="41:54" x14ac:dyDescent="0.2">
      <c r="AO22" s="127">
        <v>10</v>
      </c>
      <c r="AP22" s="128">
        <v>0.14023148148148148</v>
      </c>
      <c r="AQ22" s="128">
        <v>6.2303240740740742E-2</v>
      </c>
      <c r="AR22" s="128"/>
      <c r="AS22" s="128">
        <v>4.6469907407407411E-2</v>
      </c>
      <c r="AT22" s="128">
        <v>7.2314814814814818E-2</v>
      </c>
      <c r="AU22" s="128">
        <v>5.9282407407407409E-2</v>
      </c>
      <c r="AV22" s="128">
        <v>0.38060185185185191</v>
      </c>
      <c r="BA22" s="2" t="s">
        <v>208</v>
      </c>
      <c r="BB22">
        <v>3.8888888888888888</v>
      </c>
    </row>
    <row r="23" spans="41:54" x14ac:dyDescent="0.2">
      <c r="AO23" s="131" t="s">
        <v>232</v>
      </c>
      <c r="AP23">
        <v>0.14023148148148148</v>
      </c>
      <c r="AQ23">
        <v>6.2303240740740742E-2</v>
      </c>
      <c r="AS23">
        <v>4.6469907407407411E-2</v>
      </c>
      <c r="AT23">
        <v>7.2314814814814818E-2</v>
      </c>
      <c r="AU23">
        <v>5.9282407407407409E-2</v>
      </c>
      <c r="AV23">
        <v>0.38060185185185191</v>
      </c>
      <c r="BA23" s="2" t="s">
        <v>209</v>
      </c>
      <c r="BB23">
        <v>3.25</v>
      </c>
    </row>
    <row r="24" spans="41:54" x14ac:dyDescent="0.2">
      <c r="AO24" s="127">
        <v>11</v>
      </c>
      <c r="AP24" s="128">
        <v>0.1554861111111111</v>
      </c>
      <c r="AQ24" s="128">
        <v>9.6956018518518511E-2</v>
      </c>
      <c r="AR24" s="128">
        <v>7.239583333333334E-2</v>
      </c>
      <c r="AS24" s="128">
        <v>4.8611111111111112E-2</v>
      </c>
      <c r="AT24" s="128"/>
      <c r="AU24" s="128"/>
      <c r="AV24" s="128">
        <v>0.37344907407407407</v>
      </c>
      <c r="BA24" s="2" t="s">
        <v>210</v>
      </c>
      <c r="BB24">
        <v>3.4375</v>
      </c>
    </row>
    <row r="25" spans="41:54" x14ac:dyDescent="0.2">
      <c r="AO25" s="131" t="s">
        <v>232</v>
      </c>
      <c r="AP25">
        <v>0.1554861111111111</v>
      </c>
      <c r="AQ25">
        <v>9.6956018518518511E-2</v>
      </c>
      <c r="AR25">
        <v>7.239583333333334E-2</v>
      </c>
      <c r="AS25">
        <v>4.8611111111111112E-2</v>
      </c>
      <c r="AV25">
        <v>0.37344907407407407</v>
      </c>
      <c r="BA25" s="2" t="s">
        <v>211</v>
      </c>
      <c r="BB25">
        <v>3.8</v>
      </c>
    </row>
    <row r="26" spans="41:54" x14ac:dyDescent="0.2">
      <c r="AO26" s="127">
        <v>12</v>
      </c>
      <c r="AP26" s="128">
        <v>6.491898148148148E-2</v>
      </c>
      <c r="AQ26" s="128"/>
      <c r="AR26" s="128">
        <v>2.4305555555555556E-2</v>
      </c>
      <c r="AS26" s="128"/>
      <c r="AT26" s="128"/>
      <c r="AU26" s="128"/>
      <c r="AV26" s="128">
        <v>8.9224537037037033E-2</v>
      </c>
      <c r="BA26" s="2" t="s">
        <v>212</v>
      </c>
      <c r="BB26">
        <v>3.375</v>
      </c>
    </row>
    <row r="27" spans="41:54" x14ac:dyDescent="0.2">
      <c r="AO27" s="131" t="s">
        <v>266</v>
      </c>
      <c r="AP27">
        <v>6.491898148148148E-2</v>
      </c>
      <c r="AR27">
        <v>2.4305555555555556E-2</v>
      </c>
      <c r="AV27">
        <v>8.9224537037037033E-2</v>
      </c>
      <c r="BA27" s="2" t="s">
        <v>213</v>
      </c>
      <c r="BB27">
        <v>4.125</v>
      </c>
    </row>
    <row r="28" spans="41:54" x14ac:dyDescent="0.2">
      <c r="AO28" s="127">
        <v>13</v>
      </c>
      <c r="AP28" s="128">
        <v>7.6388888888888881E-2</v>
      </c>
      <c r="AQ28" s="128">
        <v>0.16193287037037038</v>
      </c>
      <c r="AR28" s="128">
        <v>0.10206018518518518</v>
      </c>
      <c r="AS28" s="128">
        <v>0.10006944444444445</v>
      </c>
      <c r="AT28" s="128"/>
      <c r="AU28" s="128">
        <v>2.3831018518518519E-2</v>
      </c>
      <c r="AV28" s="128">
        <v>0.46428240740740739</v>
      </c>
      <c r="BA28" s="2" t="s">
        <v>214</v>
      </c>
      <c r="BB28">
        <v>4.25</v>
      </c>
    </row>
    <row r="29" spans="41:54" x14ac:dyDescent="0.2">
      <c r="AO29" s="131" t="s">
        <v>266</v>
      </c>
      <c r="AP29">
        <v>7.6388888888888881E-2</v>
      </c>
      <c r="AQ29">
        <v>0.16193287037037038</v>
      </c>
      <c r="AR29">
        <v>0.10206018518518518</v>
      </c>
      <c r="AS29">
        <v>0.10006944444444445</v>
      </c>
      <c r="AU29">
        <v>2.3831018518518519E-2</v>
      </c>
      <c r="AV29">
        <v>0.46428240740740739</v>
      </c>
      <c r="BA29" s="2" t="s">
        <v>215</v>
      </c>
      <c r="BB29">
        <v>3.25</v>
      </c>
    </row>
    <row r="30" spans="41:54" x14ac:dyDescent="0.2">
      <c r="AO30" s="127" t="s">
        <v>11</v>
      </c>
      <c r="AP30" s="128">
        <v>1.6795949074074072</v>
      </c>
      <c r="AQ30" s="128">
        <v>1.1881134259259258</v>
      </c>
      <c r="AR30" s="128">
        <v>1.109386574074074</v>
      </c>
      <c r="AS30" s="128">
        <v>0.37986111111111109</v>
      </c>
      <c r="AT30" s="128">
        <v>0.13511574074074073</v>
      </c>
      <c r="AU30" s="128">
        <v>0.24422453703703703</v>
      </c>
      <c r="AV30" s="128">
        <v>4.7362962962962962</v>
      </c>
      <c r="BA30" s="2" t="s">
        <v>216</v>
      </c>
      <c r="BB30">
        <v>3</v>
      </c>
    </row>
    <row r="31" spans="41:54" x14ac:dyDescent="0.2">
      <c r="BA31" s="2" t="s">
        <v>217</v>
      </c>
      <c r="BB31">
        <v>4</v>
      </c>
    </row>
    <row r="32" spans="41:54" x14ac:dyDescent="0.2">
      <c r="BA32" s="2" t="s">
        <v>259</v>
      </c>
      <c r="BB32">
        <v>3</v>
      </c>
    </row>
    <row r="33" spans="53:54" x14ac:dyDescent="0.2">
      <c r="BA33" s="2" t="s">
        <v>260</v>
      </c>
      <c r="BB33">
        <v>2.25</v>
      </c>
    </row>
    <row r="34" spans="53:54" x14ac:dyDescent="0.2">
      <c r="BA34" s="2" t="s">
        <v>261</v>
      </c>
      <c r="BB34">
        <v>3</v>
      </c>
    </row>
    <row r="35" spans="53:54" x14ac:dyDescent="0.2">
      <c r="BA35" s="2" t="s">
        <v>262</v>
      </c>
      <c r="BB35">
        <v>2</v>
      </c>
    </row>
    <row r="36" spans="53:54" x14ac:dyDescent="0.2">
      <c r="BA36" s="2" t="s">
        <v>263</v>
      </c>
      <c r="BB36">
        <v>3.3</v>
      </c>
    </row>
    <row r="37" spans="53:54" x14ac:dyDescent="0.2">
      <c r="BA37" s="2" t="s">
        <v>264</v>
      </c>
      <c r="BB37">
        <v>3.6666666666666665</v>
      </c>
    </row>
    <row r="38" spans="53:54" x14ac:dyDescent="0.2">
      <c r="BA38" s="2" t="s">
        <v>265</v>
      </c>
      <c r="BB38">
        <v>3.8125</v>
      </c>
    </row>
    <row r="39" spans="53:54" x14ac:dyDescent="0.2">
      <c r="BA39" s="2" t="s">
        <v>11</v>
      </c>
      <c r="BB39">
        <v>3.4785276073619631</v>
      </c>
    </row>
  </sheetData>
  <pageMargins left="0.7" right="0.7" top="0.75" bottom="0.75" header="0.3" footer="0.3"/>
  <pageSetup scale="25" orientation="landscape" horizontalDpi="0" verticalDpi="0"/>
  <drawing r:id="rId6"/>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Study</vt:lpstr>
      <vt:lpstr>SessionSheet</vt:lpstr>
      <vt:lpstr>Data</vt:lpstr>
      <vt:lpstr>Pomos</vt:lpstr>
      <vt:lpstr>Study!Print_Area</vt:lpstr>
      <vt:lpstr>Ratings</vt:lpstr>
      <vt:lpstr>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Sasha Loayza</cp:lastModifiedBy>
  <cp:lastPrinted>2024-04-30T11:55:00Z</cp:lastPrinted>
  <dcterms:created xsi:type="dcterms:W3CDTF">2024-02-19T00:05:57Z</dcterms:created>
  <dcterms:modified xsi:type="dcterms:W3CDTF">2024-05-05T09:45:00Z</dcterms:modified>
</cp:coreProperties>
</file>